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TBC Qassim\Mobilization\الخطط\بداية العقد\FCI\Shalfa-TBC FCI\القصيم\داخل بريده - بنات\Main Excel\"/>
    </mc:Choice>
  </mc:AlternateContent>
  <xr:revisionPtr revIDLastSave="0" documentId="13_ncr:1_{60135101-99C5-46FB-80CC-8B54744FF57D}" xr6:coauthVersionLast="47" xr6:coauthVersionMax="47" xr10:uidLastSave="{00000000-0000-0000-0000-000000000000}"/>
  <bookViews>
    <workbookView xWindow="-108" yWindow="-108" windowWidth="23256" windowHeight="12456" firstSheet="1" activeTab="5" xr2:uid="{00000000-000D-0000-FFFF-FFFF00000000}"/>
  </bookViews>
  <sheets>
    <sheet name="Attached Photos" sheetId="4" state="hidden" r:id="rId1"/>
    <sheet name="FCI Report" sheetId="7" r:id="rId2"/>
    <sheet name="Spare Parts delivery completion" sheetId="15" r:id="rId3"/>
    <sheet name="Repair works deliver completion" sheetId="16" r:id="rId4"/>
    <sheet name="List" sheetId="13" r:id="rId5"/>
    <sheet name="Images" sheetId="17" r:id="rId6"/>
  </sheet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5" i="16" l="1"/>
  <c r="K16" i="16"/>
  <c r="K17" i="16"/>
  <c r="K18" i="16"/>
  <c r="K19" i="16"/>
  <c r="K20" i="16"/>
  <c r="K21" i="16"/>
  <c r="K22" i="16"/>
  <c r="K23" i="16"/>
  <c r="K24" i="16"/>
  <c r="K25" i="16"/>
  <c r="K26" i="16"/>
  <c r="K27" i="16"/>
  <c r="K28" i="16"/>
  <c r="K29" i="16"/>
  <c r="K14" i="16"/>
  <c r="I30" i="16" s="1"/>
  <c r="K15" i="15"/>
  <c r="K16" i="15"/>
  <c r="K17" i="15"/>
  <c r="K18" i="15"/>
  <c r="K19" i="15"/>
  <c r="K20" i="15"/>
  <c r="K21" i="15"/>
  <c r="K22" i="15"/>
  <c r="K23" i="15"/>
  <c r="K24" i="15"/>
  <c r="K25" i="15"/>
  <c r="K26" i="15"/>
  <c r="K27" i="15"/>
  <c r="K28" i="15"/>
  <c r="K29" i="15"/>
  <c r="K30" i="15"/>
  <c r="K31" i="15"/>
  <c r="K32" i="15"/>
  <c r="K33" i="15"/>
  <c r="K34" i="15"/>
  <c r="K35" i="15"/>
  <c r="K36" i="15"/>
  <c r="K37" i="15"/>
  <c r="K38" i="15"/>
  <c r="K39" i="15"/>
  <c r="K40" i="15"/>
  <c r="K41" i="15"/>
  <c r="K42" i="15"/>
  <c r="K43" i="15"/>
  <c r="K44" i="15"/>
  <c r="K45" i="15"/>
  <c r="K14" i="15"/>
  <c r="E9" i="4"/>
  <c r="C9" i="4"/>
  <c r="A9" i="4"/>
  <c r="J47" i="15" l="1"/>
</calcChain>
</file>

<file path=xl/sharedStrings.xml><?xml version="1.0" encoding="utf-8"?>
<sst xmlns="http://schemas.openxmlformats.org/spreadsheetml/2006/main" count="636" uniqueCount="275">
  <si>
    <t>Educational Ref. No.
الرقم الوزاري</t>
  </si>
  <si>
    <t>Other Remarks and comment
 ملاحظات وتعليقات أخرى</t>
  </si>
  <si>
    <r>
      <t xml:space="preserve">Attached Photos / الصور الملحقة
</t>
    </r>
    <r>
      <rPr>
        <b/>
        <sz val="9"/>
        <color theme="0"/>
        <rFont val="Tajawal"/>
      </rPr>
      <t>(Item # in the Checklist / رقم العنصر في قائمة التدقيق)</t>
    </r>
  </si>
  <si>
    <t>جيد</t>
  </si>
  <si>
    <t>مناسب</t>
  </si>
  <si>
    <t>ضعيف</t>
  </si>
  <si>
    <t>حرج</t>
  </si>
  <si>
    <t>مضخات رفع المياة</t>
  </si>
  <si>
    <t>خط نقل المياة الصاعد</t>
  </si>
  <si>
    <t>خزانات المياة العلوية</t>
  </si>
  <si>
    <t>منظومة توزيع شبكة المياة</t>
  </si>
  <si>
    <t>خطوط توزيع المياة النازل لشبكة تغذية المياة</t>
  </si>
  <si>
    <t>نقاط الاستخدم و الاجهزة الصحية</t>
  </si>
  <si>
    <t xml:space="preserve">سخان المياة </t>
  </si>
  <si>
    <t>نظام تغذية مياة الاستخدام</t>
  </si>
  <si>
    <t xml:space="preserve">اعمال الاصلاحات المطلوب تنفيذها </t>
  </si>
  <si>
    <t>وصف البند</t>
  </si>
  <si>
    <t xml:space="preserve">نظام صرف المياة الصحية </t>
  </si>
  <si>
    <t xml:space="preserve">فتحات الصرف </t>
  </si>
  <si>
    <t xml:space="preserve">خط الصرف النازل و التهوية </t>
  </si>
  <si>
    <t>خطوط نقل مياة الصرف وغرف التفتيش</t>
  </si>
  <si>
    <t>بيارة تجميع مياة الصرف و نقاط التوصيل للشبكة العمومية</t>
  </si>
  <si>
    <t>نظام شبكة التيار الكهربائي</t>
  </si>
  <si>
    <t>لوحة المبنى الرئيسي MDB</t>
  </si>
  <si>
    <t>لوحات الكهرباء العمومية SMDB-LP</t>
  </si>
  <si>
    <t xml:space="preserve">الكيابل المسلحة الرئيسية وغرف التفتيش </t>
  </si>
  <si>
    <t>لوحات التوزيع الكهربائي الفرعية Panel Borad-LP</t>
  </si>
  <si>
    <t>الاسلاك الكهربائية بانواعها</t>
  </si>
  <si>
    <t>نقاط الاستخدام و الاجهزة الكهربائية</t>
  </si>
  <si>
    <t>لوحات الكهرباء العمومية SMDB-AC</t>
  </si>
  <si>
    <t>لوحات التوزيع الفرعية Panel Board-AC</t>
  </si>
  <si>
    <t>مفاتيح اجهزة التكييف و التهوية</t>
  </si>
  <si>
    <t xml:space="preserve">جميع اجهزة التكييف </t>
  </si>
  <si>
    <t>نقاط صرف المياة</t>
  </si>
  <si>
    <t>نظام التكييف و التبريد و التهوية</t>
  </si>
  <si>
    <t>الهياكل الانشائية خرسانية او معدنية</t>
  </si>
  <si>
    <t>الحوائط والقواطع الداخلية</t>
  </si>
  <si>
    <t xml:space="preserve">الحوائط الخارجية و الواجهات </t>
  </si>
  <si>
    <t>السلالم و الدرج الداخلي</t>
  </si>
  <si>
    <t xml:space="preserve">طبقات الدفان اسفل الارضيات وعلامات الهبوط </t>
  </si>
  <si>
    <t>مظلات الافنية الداخلية</t>
  </si>
  <si>
    <t>مظلات الساحات الخارجية</t>
  </si>
  <si>
    <t>فواصل التمدد الراسية و الافقية</t>
  </si>
  <si>
    <t xml:space="preserve">العزل المائي للاسطح </t>
  </si>
  <si>
    <t xml:space="preserve">العزل المائي لدورات المياة </t>
  </si>
  <si>
    <t>جميع انواع الارضيات</t>
  </si>
  <si>
    <t xml:space="preserve">حوائط وقواطع داخلية وقيشاني دورات المياة </t>
  </si>
  <si>
    <t xml:space="preserve">الموقع العام و الارصفة و المنحدات </t>
  </si>
  <si>
    <t>السلالم والدرابزين</t>
  </si>
  <si>
    <t xml:space="preserve">الدهانات الداخلية </t>
  </si>
  <si>
    <t xml:space="preserve">الدهانات الخارجية </t>
  </si>
  <si>
    <t>جميع انواع الاسقف</t>
  </si>
  <si>
    <t xml:space="preserve">بوابات المداخل الرئسيسية </t>
  </si>
  <si>
    <t xml:space="preserve">ابواب الفصول </t>
  </si>
  <si>
    <t xml:space="preserve">ابواب دورات المياة </t>
  </si>
  <si>
    <t xml:space="preserve">النوافذ </t>
  </si>
  <si>
    <t>رقم العنصر</t>
  </si>
  <si>
    <t>حالة البند</t>
  </si>
  <si>
    <t>الملاحظات/الإجراء الذي تم اتخاذه</t>
  </si>
  <si>
    <t>العناصر المعمارية
Architectural elements</t>
  </si>
  <si>
    <t>العناصر الإنشائية فوق الأرض
Above-ground structural elements</t>
  </si>
  <si>
    <t>كرسي شرقي لدورات المياة</t>
  </si>
  <si>
    <t xml:space="preserve">كرسي افرنجي لدورات المياة </t>
  </si>
  <si>
    <t xml:space="preserve">احواض الغسيل وغسيل الايدي </t>
  </si>
  <si>
    <t>School name
أسم المدرسة</t>
  </si>
  <si>
    <t xml:space="preserve">National address
العنوان الوطني للمبنى </t>
  </si>
  <si>
    <t>Contract Number
رقم العقد</t>
  </si>
  <si>
    <t>Contractor name
أسم المقاول</t>
  </si>
  <si>
    <t>Number of students
عدد الطلاب</t>
  </si>
  <si>
    <t>Gender
النوع</t>
  </si>
  <si>
    <r>
      <t xml:space="preserve">بنات   </t>
    </r>
    <r>
      <rPr>
        <sz val="18"/>
        <rFont val="Tajawal"/>
      </rPr>
      <t>□</t>
    </r>
  </si>
  <si>
    <r>
      <t xml:space="preserve">بنين </t>
    </r>
    <r>
      <rPr>
        <sz val="16"/>
        <rFont val="Tajawal"/>
      </rPr>
      <t xml:space="preserve"> </t>
    </r>
    <r>
      <rPr>
        <sz val="18"/>
        <rFont val="Tajawal"/>
      </rPr>
      <t>□</t>
    </r>
  </si>
  <si>
    <t xml:space="preserve">Education Dept.
ادارة التعليم </t>
  </si>
  <si>
    <t>City
المدينة</t>
  </si>
  <si>
    <t>Administrative Region
المنطقة الإدارية</t>
  </si>
  <si>
    <t xml:space="preserve">Date of report filling
تاريخ تعبية التقرير </t>
  </si>
  <si>
    <t>تقرير مؤشر مستوى التشغيل لمبنى مدرسي
Operational Level Indicator Report for a School Building (FCI)</t>
  </si>
  <si>
    <t>Final Operational condition of the Building
حالة المبنى التشغيلية النهائية</t>
  </si>
  <si>
    <t xml:space="preserve">جيد  </t>
  </si>
  <si>
    <t xml:space="preserve">حرج </t>
  </si>
  <si>
    <t>الاطفاء
Fire Fighting System</t>
  </si>
  <si>
    <t>خزان المياه</t>
  </si>
  <si>
    <t>مضحه الحريق الكهربائيه</t>
  </si>
  <si>
    <t>مضخه الحريق الديزل</t>
  </si>
  <si>
    <t>مضحه الحريق التعويضيه ( الجوكي)</t>
  </si>
  <si>
    <t>لوحات التحكم بالمضخات</t>
  </si>
  <si>
    <t>مجموعه المحابس بغرفه المضخات</t>
  </si>
  <si>
    <t>شبكه المواسير</t>
  </si>
  <si>
    <t>صناديق الحريق</t>
  </si>
  <si>
    <t>وصلات الدفاع المدني الخارجيه</t>
  </si>
  <si>
    <t>رشاشات الحريق( ان وجدت)</t>
  </si>
  <si>
    <t>الإنذار من الحريق
Fire Alarm System</t>
  </si>
  <si>
    <t>الإطفاء</t>
  </si>
  <si>
    <t>تعمل بشكل جيد</t>
  </si>
  <si>
    <t>تالفه تماما</t>
  </si>
  <si>
    <t>المضخات</t>
  </si>
  <si>
    <t>المحابس</t>
  </si>
  <si>
    <t>بعضها لا يعمل</t>
  </si>
  <si>
    <t>جميعها تالفه</t>
  </si>
  <si>
    <t>تحتاج الى اصلاح طفيف</t>
  </si>
  <si>
    <t>تحتاج الى قطع غيار</t>
  </si>
  <si>
    <t>شبكه  المواسير</t>
  </si>
  <si>
    <t>تحتاج الي اصلاح طفيف ( تسربيات بسيطه)</t>
  </si>
  <si>
    <t>تحتاج الى اصلاح طفيف( يحتاج الى عوامه او غطاء)</t>
  </si>
  <si>
    <t>يحتاج الى اعاده عزل من الداخل</t>
  </si>
  <si>
    <t>تحتاج الى استبدال</t>
  </si>
  <si>
    <t>تالفه تماما او غير موجوده</t>
  </si>
  <si>
    <t>لوحة الإنذار</t>
  </si>
  <si>
    <t>شبكه الاسلاك الحراريه</t>
  </si>
  <si>
    <t>كواشف الحريق او الدخان او الحرارة</t>
  </si>
  <si>
    <t>الإنذار</t>
  </si>
  <si>
    <t>لوحه الإنذار</t>
  </si>
  <si>
    <t>مسجله اعطال او تحتاج الى برمجه</t>
  </si>
  <si>
    <t>تعمل وليس لها بطاريه</t>
  </si>
  <si>
    <t>تالفه او غير موجوده</t>
  </si>
  <si>
    <t>يوجد تقطع  او تلف جزئي</t>
  </si>
  <si>
    <t>غير موجوده</t>
  </si>
  <si>
    <t>لا تغطى كامل أجزاء المبني</t>
  </si>
  <si>
    <t>الجدران الخرسانيه تالفه</t>
  </si>
  <si>
    <t>تحتاج الى تنظيف او برمجه</t>
  </si>
  <si>
    <t>تعطل جزئي</t>
  </si>
  <si>
    <t>العناصر المعماريه</t>
  </si>
  <si>
    <t>لا يوجد اى ملاحظات</t>
  </si>
  <si>
    <t>اختلاف في الألوان وعدم التناسق</t>
  </si>
  <si>
    <t>تكسر في بعض العناصر او تلفها</t>
  </si>
  <si>
    <t>تلف او عدم وجود احدى العناصر بالكامل على الأقل</t>
  </si>
  <si>
    <t xml:space="preserve">تلف او خدوش او كتابات </t>
  </si>
  <si>
    <t>تحتاج الى اعاده دهان بالكامل</t>
  </si>
  <si>
    <t>اختلاف في الألوان او الاحجام وعدم التناسق</t>
  </si>
  <si>
    <t xml:space="preserve">تلف او انكسار  بعض المساحات </t>
  </si>
  <si>
    <t>تلف او عدم وجود سقف بشكل كامل</t>
  </si>
  <si>
    <t>تلف او صدأ  او وجود نتوئات او حواف خطيره</t>
  </si>
  <si>
    <t xml:space="preserve">غير مثبته بامان او غير موجوده </t>
  </si>
  <si>
    <t>العناصر الإنشائية فوق الأرض</t>
  </si>
  <si>
    <t>يوجد شروخ ظاهره او تشققات</t>
  </si>
  <si>
    <t>انهيار جزئي او انكشاف للحديد المسلح</t>
  </si>
  <si>
    <t>تاكل لشبكات الحديد المسلح او وجود انفصال وهبوط خطير</t>
  </si>
  <si>
    <t>انفصال او هبوط خطير يهدد سلامه المبني او الأشخاص</t>
  </si>
  <si>
    <t>انكسار او انجراف في التربه</t>
  </si>
  <si>
    <t>هبوط جزئي او وجود فراغات اسفل الارضيات</t>
  </si>
  <si>
    <t>هبوط عام او عدم وجود ارضيات( انترلوك- ترابيع اسمنتيه)</t>
  </si>
  <si>
    <t>تمزق او اهتراء الاقمشه</t>
  </si>
  <si>
    <t>تضرر الهياكل المعدنيه الحامله</t>
  </si>
  <si>
    <t>تلف في الهياكل المعدنيه الحامله او عدم وجود اقمشه</t>
  </si>
  <si>
    <t>تسرب مياه  من الفواصل</t>
  </si>
  <si>
    <t>انفصال وابتعاد الفواصل عن بعضها</t>
  </si>
  <si>
    <t>تمزق او اهتراء للشنكو</t>
  </si>
  <si>
    <t>عدم وجود  مواد امتصاص التمدد  ( فيلين او سيليكون او الشريحه)</t>
  </si>
  <si>
    <t>نظام التكييف والتبريد</t>
  </si>
  <si>
    <t>بعض الأبواب لا تعمل او او تعطل في لبمات البيان الخارجيه او العدادات</t>
  </si>
  <si>
    <t>لا يوجد حمايه حراريه او  حمايه من التسرب الأرضي وتآكل أجزاء من العوازل</t>
  </si>
  <si>
    <t>تالفه تماما  واو وجود توصيلات مباشره</t>
  </si>
  <si>
    <t>تأكل جزئي في العزل ااو وجود تكربن في اطراف الكابلات</t>
  </si>
  <si>
    <t>ارتفاع حراره الكابل  او عدم مناسبه مساحه مقطع الكابل للحمل</t>
  </si>
  <si>
    <t>وجود قصر كهربائي على الكابل مع التعادل او احدى الأطراف ( تالف)</t>
  </si>
  <si>
    <t>تعطل بلمبات البيان او العدادات او عدم وجود ELR لكل دور</t>
  </si>
  <si>
    <t>تعمل  ومحمل عليها احمال كهربائيه اخري مثل الاضاءه</t>
  </si>
  <si>
    <t>ارتفاع في درجات حراره المفتاح عند العمل ( عدم مناسبه الحمل)</t>
  </si>
  <si>
    <t>تالفه او بها قصر كهربائي</t>
  </si>
  <si>
    <t>تعمل ولكن كفائه التبريد منخفضه</t>
  </si>
  <si>
    <t>اجهزه التكييف تالفه او  متهالكه</t>
  </si>
  <si>
    <t>يوجد انسداد</t>
  </si>
  <si>
    <t>يوجد تسربيات تحت العناصر المعماريه او الانشائيه</t>
  </si>
  <si>
    <t>لا يوجد نظام صرف</t>
  </si>
  <si>
    <t xml:space="preserve">تحتاج تعديل فولت  </t>
  </si>
  <si>
    <t>تالفه او محترقه</t>
  </si>
  <si>
    <t>تكسر او عدم استواء فتحات الصرف او عدم وجود ميول</t>
  </si>
  <si>
    <t xml:space="preserve">وجود حواف خطره   </t>
  </si>
  <si>
    <t>عدم وجود فتحات الصرف</t>
  </si>
  <si>
    <t>تسربيات من شبكه الصرف  او ضيق بعض المواسير</t>
  </si>
  <si>
    <t>تهريب من شبكات الصرف تحت العناصر المعماريه او الانشائيه</t>
  </si>
  <si>
    <t>تهالك شبكه الصرف او عدم اتصالها بشبكه الصرف للبلديه</t>
  </si>
  <si>
    <t>تسربيات ظاهره وموضعيه</t>
  </si>
  <si>
    <t>تهالك شبكه التغذيه او عدم اتصالها بشبكه البلديه</t>
  </si>
  <si>
    <t xml:space="preserve">تسربيات من  بدن غرفه التجميع </t>
  </si>
  <si>
    <t>عدم اتصال بعض نقاط التجميع بالبياره العموميه</t>
  </si>
  <si>
    <t>عدم وجود غرف صرف  او انسداد مواسيرها وتهالكها</t>
  </si>
  <si>
    <t>تهريب من بدن الخزان بالجزء العلوي</t>
  </si>
  <si>
    <t>تهريب او انكسار بجسم الخزان من الجزء السفلي ( لا يمكن لحامه)</t>
  </si>
  <si>
    <t>خزان المياة  ونقاط التغذية من الشبكة العمومية</t>
  </si>
  <si>
    <t>انكسار في خطوط الصرف او عدم مناسبه مواد المواسير او ضيق قطرها</t>
  </si>
  <si>
    <t>تهالك شبكه الصرف او عدم اتصالها بشبكه البلديه</t>
  </si>
  <si>
    <t>خزان المياة الارضي ونقاط التغذية من الشبكة العمومية</t>
  </si>
  <si>
    <t>تهالك شبكه التغذيه</t>
  </si>
  <si>
    <t>انكسار في خطوط االتغذيه او عدم مناسبه مواد المواسير او ضيق قطرها</t>
  </si>
  <si>
    <t>تكسر أجزاء من الاجهزه الصحيه او وجود حواف خطره</t>
  </si>
  <si>
    <t>تعمل وتحتاج الى اصلاح الوصلات الخارجيه  او خطوط التغذيه الكهرباء</t>
  </si>
  <si>
    <t>تعطل مؤشر حراره المياه</t>
  </si>
  <si>
    <t>تسربيات من جسم السخان ( قد تدؤي الى التماس مع المياه)</t>
  </si>
  <si>
    <t xml:space="preserve"> مستوي حاله النظام</t>
  </si>
  <si>
    <t>انكسار في خطوط التغذيه او عدم
 مناسبه مواد المواسير او ضيق قطرها</t>
  </si>
  <si>
    <t>وجود ميول بقواعد ارتكاز  الخزان او عدم
 وجود قواعد مطاطيه اسفل الخزان</t>
  </si>
  <si>
    <t>تآكل او تسريب من بدن الاجهزه الصحيه</t>
  </si>
  <si>
    <t>انفصال او هبوط خطير  يهدد سلامه المبني او الأشخاص</t>
  </si>
  <si>
    <t>النتيجة
( بواسطه الاستشاري)</t>
  </si>
  <si>
    <t>انفصال او عدم تثبيت للاجهزه الصحيه</t>
  </si>
  <si>
    <t>بعض الأبواب لا تعمل  او تعطل في لبمات البيان الخارجيه او العدادات</t>
  </si>
  <si>
    <t>تالفه تماما  او وجود توصيلات مباشره</t>
  </si>
  <si>
    <t>تالفه تماما  او  وجود توصيلات مباشره</t>
  </si>
  <si>
    <t>خطوط التغذيه للافياش متصله على احمال عاليه مثل التكييف او غيره</t>
  </si>
  <si>
    <t>تعطل  متكرر  وزياده احمال على اللوحات والقواطع</t>
  </si>
  <si>
    <t>تلف او صدأ  او  وجود نتوئات او حواف خطيره</t>
  </si>
  <si>
    <t xml:space="preserve">حاله المبني بشكل عام </t>
  </si>
  <si>
    <t>صناديق طرد عالي - للكرسي العربي</t>
  </si>
  <si>
    <t>صناديق طرد واطي- للكرسي الافرنجي</t>
  </si>
  <si>
    <t>مواسير قطر من (4 الى 0.5) بوصة upvc class 5 وضغط داخلي pin16</t>
  </si>
  <si>
    <t>محبس حريق OS&amp;Y من قطر  4  بوصه الى 3 بوصه كامل Flange end</t>
  </si>
  <si>
    <t>لوحه انذار معنونه كامله (مع الإكسسوارات ) والبطارية ( 12/10/8) زون</t>
  </si>
  <si>
    <t>طفاية حريق Dry powder   وزن 6 كيلو</t>
  </si>
  <si>
    <t>طفاية حريق CO2 وزن (9) كيلو</t>
  </si>
  <si>
    <t>مضخة حريق 1750 دوره /د وتصرف 125 جالون/ ضغط 7 بار</t>
  </si>
  <si>
    <t>مضخة حريق تعويضيه جوكي ضغط 7 بار</t>
  </si>
  <si>
    <t>صندوق إطفاء حريق بكامل عناصره</t>
  </si>
  <si>
    <t>خزان علوي فايبر جلاس بسعة 5000 لتر</t>
  </si>
  <si>
    <t>خزان علوي فايبر جلاس بسعة 4000 لتر</t>
  </si>
  <si>
    <t>خزان علوي فايبر جلاس بسعة 3000 لتر</t>
  </si>
  <si>
    <t>Booster Pump- مضخات مياه 3 حصان</t>
  </si>
  <si>
    <t>Elevators- محرك+ صندوق تروس مصاعد</t>
  </si>
  <si>
    <t>قاطع كهربائي بسعة (250) امبير</t>
  </si>
  <si>
    <t>قاطع كهربائي بسعة (400) امبير</t>
  </si>
  <si>
    <t>قاطع كهربائي بسعة 1250 امبير</t>
  </si>
  <si>
    <t>أغطية لوحات التوزيع الفرعية</t>
  </si>
  <si>
    <t>كبل نحاس مسلح مقاس (4*16) ملم</t>
  </si>
  <si>
    <t>لوحة توزيع فرعية (48) خط مزودة بعدد (24) قاطع فرعي مزدوج سعة (30 أمبير) وقاطع رئيسي سعة 125 أمبير</t>
  </si>
  <si>
    <t>لوحة توزيع فرعية (36) خط مزودة بعدد (24) قاطع فرعي مزدوج سعة (30 أمبير) وقاطع رئيسي سعة 125 أمبير</t>
  </si>
  <si>
    <t>سخانات المياه الكهربائية بسعة 50 لتر</t>
  </si>
  <si>
    <t>سخانات المياه الكهربائية بسعة 100 لتر</t>
  </si>
  <si>
    <t>قماش مظلات من مادة (UPVC) لفة (50) متر مربع</t>
  </si>
  <si>
    <t>معالجة وضبط مناسيب الهبوط وبلاط الموقع العام ويشمل البند التوريد والتركيب للبلاط (انتر لوك - ترابيع اسمنتيه) والبند يشمل جميع ما يلزم لإنهاء البند حسب الشروط والمواصفات</t>
  </si>
  <si>
    <t>توريد وتنفيذ اعمال دهانات للواجهات الخارجية للمبنى والبند يشمل معالجة اللياسه وازاله الدهانات الضعيفة ومعالجة فواصل التمدد وتركيب شريحه الألومنيوم</t>
  </si>
  <si>
    <t>توريد وتنفيذ دهانات داخليه للأسقف والحوائط الداخلية ويشمل معالجة اللياسه وازاله الدهانات الضعيفه والتالفه ويشمل البند جميع ما يلزم لانهاء البند حسب الشروط والمواصفات</t>
  </si>
  <si>
    <t>توريد وتنفيذ اعمال اللياسه الخارجية لواجهات المباني والاسوار حسب الشروط والمواصفات</t>
  </si>
  <si>
    <t>توريد وتنفيذ اعمال اللياسه داخليه للاسقف والحوائط حسب الشروط والمواصفات</t>
  </si>
  <si>
    <t xml:space="preserve">توريد وتركيب رخام للأرضيات والحوائط حسب العينات المعتمدة </t>
  </si>
  <si>
    <t>توريد وتركيب بلاط ارضيات للممرات والساحات الداخلية وارضيات الغرف حسب الموجود على الطبيعة والعينات المعتمدة</t>
  </si>
  <si>
    <t>اعمال معالجة تسرب المياه من دورات المياه لمكان التسرب الفعلي المحدد حسب الأصول الفنية،  ويشمل البند تكسير وزاله ارضيات دورات المياه وصولا الى طبقه الخرسانه وصب خرسانه خفيفه لملىء فراغ سقوط دوره المياه وعمل عزل مائي طبقتين سمك 4 ملم وتوريد وتركيب السراميك واعاده الوضع الى اصله حسب الشروط والمواصفات</t>
  </si>
  <si>
    <t>اعمال فك وتركيب مواسير التغذيه لدورات المياه والتوريد حسب العنيه المعتمده</t>
  </si>
  <si>
    <t>اعمال اعاده عزل سطح المبنى الرئيسى لمعالجة أماكن تسربات المياه المحدده حسب الأصول الفنية وتشمل الاعمال ازاله ارضيات السطح والطبقات العازله وصولا للسقف الخرساني وتركيب طبقتين عازلتين للرطوبه وتوريد بلاط ويشمل المونه والدفان تحت البلاط وعمل وزره ميول بنفس نوع البلاط واعاده الوضع الى اصله حسب الشروط والمواصفات</t>
  </si>
  <si>
    <t>اعمال اصلاح النوافذ الزجاجيه ويشمل ذلك التوريد حسب الموجود على الطبيعه والعينات المعتمده</t>
  </si>
  <si>
    <t>اعمال توريد وتركيب اسقف مستعاره للموجود بالمبنى سابقا (شرائح معدنيه او تربيعات) حسب الشروط والمواصفات</t>
  </si>
  <si>
    <t>اعمال اصلاح الخزانات الارضيه  ويشمل البند معالجة الشروخ من الداخل ودهان ماده الايبوكسي ( المعتمده من الجهات الرسميه ذات العلاقه) لكامل الخزان من الداخل وتعقيم ونتظيف الخزان بعد انتهاء الاعمال</t>
  </si>
  <si>
    <t>اعمال توريد وتركيب مواسير الصرف الخارجية وتركيب الاكسسوارت اللازمة حسب الموجود على الطبيعه والعينات المعتمده من جهاز الاشراف</t>
  </si>
  <si>
    <t>اعمال اصلاح شبكات الحريق والاطفاء وتشمل توريد المواسير والاكسسورات لمواسير 4 بوصه الى 1 بوصه ولوازمها حسب الشروط والمواصفات</t>
  </si>
  <si>
    <t>اعمال توريد وتركيب الاسلاك الحرارية لشبكات الإنذار من الحريق حسب الشروط والمواصفات</t>
  </si>
  <si>
    <t>تقرير الإنجاز لتوفير قطع الغيار
Spare Parts delivery completion Report</t>
  </si>
  <si>
    <t>تاريخ الرصد</t>
  </si>
  <si>
    <t>تاريخ الإنجاز</t>
  </si>
  <si>
    <t>الوحدة</t>
  </si>
  <si>
    <t>سعر الوحدة</t>
  </si>
  <si>
    <t>الكمية بناء على تقرير خط الأساس</t>
  </si>
  <si>
    <t>الكمية الفعلية المنفذة</t>
  </si>
  <si>
    <t>الإجمالي</t>
  </si>
  <si>
    <t>عدد</t>
  </si>
  <si>
    <t>م</t>
  </si>
  <si>
    <t xml:space="preserve">الإجمالي </t>
  </si>
  <si>
    <t>تقرير الإنجاز لاعمال الاصلاحات
Repair works deliver completion</t>
  </si>
  <si>
    <t>م.ط</t>
  </si>
  <si>
    <t/>
  </si>
  <si>
    <t/>
  </si>
  <si>
    <t/>
  </si>
  <si>
    <t/>
  </si>
  <si>
    <t/>
  </si>
  <si>
    <t/>
  </si>
  <si>
    <t/>
  </si>
  <si>
    <t/>
  </si>
  <si>
    <t/>
  </si>
  <si>
    <t/>
  </si>
  <si>
    <t/>
  </si>
  <si>
    <t/>
  </si>
  <si>
    <t/>
  </si>
  <si>
    <t/>
  </si>
  <si>
    <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</si>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</sst>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1">
    <font>
      <sz val="11"/>
      <color theme="1"/>
      <name val="Calibri"/>
      <family val="2"/>
      <scheme val="minor"/>
    </font>
    <font>
      <b/>
      <sz val="22"/>
      <name val="Tajawal"/>
    </font>
    <font>
      <sz val="11"/>
      <color theme="1"/>
      <name val="Tajawal"/>
    </font>
    <font>
      <sz val="10"/>
      <name val="Arial"/>
      <family val="2"/>
    </font>
    <font>
      <b/>
      <sz val="12"/>
      <name val="Tajawal"/>
    </font>
    <font>
      <sz val="12"/>
      <name val="Tajawal"/>
    </font>
    <font>
      <sz val="10"/>
      <name val="Tajawal"/>
    </font>
    <font>
      <b/>
      <sz val="11"/>
      <name val="Tajawal"/>
    </font>
    <font>
      <b/>
      <sz val="14"/>
      <color theme="1"/>
      <name val="Tajawal"/>
    </font>
    <font>
      <b/>
      <sz val="11"/>
      <color theme="1"/>
      <name val="Tajawal"/>
    </font>
    <font>
      <b/>
      <sz val="12"/>
      <color theme="0"/>
      <name val="Tajawal"/>
    </font>
    <font>
      <sz val="11"/>
      <name val="Tajawal"/>
    </font>
    <font>
      <b/>
      <sz val="9"/>
      <color theme="0"/>
      <name val="Tajawal"/>
    </font>
    <font>
      <sz val="18"/>
      <name val="Sakkal Majalla"/>
    </font>
    <font>
      <b/>
      <sz val="18"/>
      <color theme="1"/>
      <name val="Tajawal"/>
    </font>
    <font>
      <b/>
      <sz val="20"/>
      <color theme="1"/>
      <name val="Tajawal"/>
    </font>
    <font>
      <b/>
      <sz val="12"/>
      <color theme="1"/>
      <name val="Tajawal"/>
    </font>
    <font>
      <sz val="12"/>
      <color theme="1"/>
      <name val="Tajawal"/>
    </font>
    <font>
      <sz val="16"/>
      <name val="Tajawal"/>
    </font>
    <font>
      <sz val="18"/>
      <name val="Tajawal"/>
    </font>
    <font>
      <sz val="11"/>
      <color theme="1"/>
      <name val="Calibri"/>
      <family val="2"/>
      <scheme val="minor"/>
    </font>
    <font>
      <b/>
      <sz val="11"/>
      <color theme="1"/>
      <name val="Calibri"/>
      <family val="2"/>
      <scheme val="minor"/>
    </font>
    <font>
      <sz val="11"/>
      <color rgb="FF006100"/>
      <name val="Calibri"/>
      <family val="2"/>
      <scheme val="minor"/>
    </font>
    <font>
      <b/>
      <sz val="11"/>
      <color theme="0"/>
      <name val="Tajawal"/>
    </font>
    <font>
      <b/>
      <sz val="12"/>
      <color theme="1"/>
      <name val="Sakkal Majalla"/>
    </font>
    <font>
      <b/>
      <sz val="14"/>
      <color theme="1"/>
      <name val="Sakkal Majalla"/>
    </font>
    <font>
      <b/>
      <sz val="16"/>
      <color theme="1"/>
      <name val="Sakkal Majalla"/>
    </font>
    <font>
      <b/>
      <sz val="14"/>
      <color theme="1"/>
      <name val="Calibri"/>
      <family val="2"/>
      <scheme val="minor"/>
    </font>
    <font>
      <b/>
      <sz val="20"/>
      <color theme="1"/>
      <name val="Sakkal Majalla"/>
    </font>
    <font>
      <b/>
      <sz val="16"/>
      <color theme="1"/>
      <name val="Tajawal"/>
    </font>
    <font>
      <sz val="18"/>
      <name val="Calibri"/>
      <family val="2"/>
    </font>
  </fonts>
  <fills count="13">
    <fill>
      <patternFill patternType="none"/>
    </fill>
    <fill>
      <patternFill patternType="gray125"/>
    </fill>
    <fill>
      <patternFill patternType="solid">
        <fgColor theme="2"/>
        <bgColor indexed="64"/>
      </patternFill>
    </fill>
    <fill>
      <patternFill patternType="solid">
        <fgColor theme="2" tint="-0.499984740745262"/>
        <bgColor indexed="64"/>
      </patternFill>
    </fill>
    <fill>
      <patternFill patternType="solid">
        <fgColor rgb="FF0DA5B5"/>
        <bgColor indexed="64"/>
      </patternFill>
    </fill>
    <fill>
      <patternFill patternType="solid">
        <fgColor theme="0" tint="-0.14999847407452621"/>
        <bgColor indexed="64"/>
      </patternFill>
    </fill>
    <fill>
      <patternFill patternType="solid">
        <fgColor rgb="FFFF0000"/>
        <bgColor indexed="64"/>
      </patternFill>
    </fill>
    <fill>
      <patternFill patternType="solid">
        <fgColor rgb="FFC6EFCE"/>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5" tint="-0.249977111117893"/>
        <bgColor indexed="64"/>
      </patternFill>
    </fill>
    <fill>
      <patternFill patternType="solid">
        <fgColor rgb="FFC6EFCE"/>
      </patternFill>
    </fill>
    <fill>
      <patternFill patternType="solid">
        <fgColor rgb="FF2DABBC"/>
        <bgColor indexed="64"/>
      </patternFill>
    </fill>
  </fills>
  <borders count="5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hair">
        <color indexed="64"/>
      </left>
      <right style="hair">
        <color indexed="64"/>
      </right>
      <top style="hair">
        <color indexed="64"/>
      </top>
      <bottom style="hair">
        <color indexed="64"/>
      </bottom>
      <diagonal/>
    </border>
    <border>
      <left style="thin">
        <color indexed="64"/>
      </left>
      <right/>
      <top style="medium">
        <color indexed="64"/>
      </top>
      <bottom style="thin">
        <color indexed="64"/>
      </bottom>
      <diagonal/>
    </border>
    <border>
      <left/>
      <right style="thin">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s>
  <cellStyleXfs count="4">
    <xf numFmtId="0" fontId="0" fillId="0" borderId="0"/>
    <xf numFmtId="0" fontId="3" fillId="0" borderId="0"/>
    <xf numFmtId="43" fontId="20" fillId="0" borderId="0" applyFont="0" applyFill="0" applyBorder="0" applyAlignment="0" applyProtection="0"/>
    <xf numFmtId="0" fontId="22" fillId="11" borderId="0" applyNumberFormat="0" applyBorder="0" applyAlignment="0" applyProtection="0"/>
  </cellStyleXfs>
  <cellXfs count="188">
    <xf numFmtId="0" fontId="0" fillId="0" borderId="0" xfId="0"/>
    <xf numFmtId="0" fontId="2" fillId="0" borderId="0" xfId="0" applyFont="1" applyAlignment="1">
      <alignment horizontal="center" vertical="center"/>
    </xf>
    <xf numFmtId="0" fontId="9" fillId="0" borderId="4" xfId="0" applyFont="1" applyBorder="1" applyAlignment="1">
      <alignment horizontal="center" vertical="center"/>
    </xf>
    <xf numFmtId="0" fontId="2" fillId="0" borderId="0" xfId="0" applyFont="1" applyAlignment="1">
      <alignment horizontal="center" vertical="center" wrapText="1"/>
    </xf>
    <xf numFmtId="0" fontId="13" fillId="0" borderId="4" xfId="0" applyFont="1" applyBorder="1" applyAlignment="1">
      <alignment horizontal="center" vertical="center"/>
    </xf>
    <xf numFmtId="0" fontId="9" fillId="0" borderId="0" xfId="0" applyFont="1" applyAlignment="1">
      <alignment horizontal="center" vertical="center" wrapText="1"/>
    </xf>
    <xf numFmtId="0" fontId="10" fillId="3" borderId="4" xfId="0" applyFont="1" applyFill="1" applyBorder="1" applyAlignment="1">
      <alignment horizontal="center" vertical="center" wrapText="1"/>
    </xf>
    <xf numFmtId="2" fontId="9" fillId="0" borderId="4" xfId="0" applyNumberFormat="1" applyFont="1" applyBorder="1" applyAlignment="1">
      <alignment horizontal="center" vertical="center"/>
    </xf>
    <xf numFmtId="0" fontId="5" fillId="0" borderId="20" xfId="1" applyFont="1" applyBorder="1" applyAlignment="1">
      <alignment horizontal="right" vertical="center"/>
    </xf>
    <xf numFmtId="9" fontId="2" fillId="0" borderId="0" xfId="0" applyNumberFormat="1" applyFont="1" applyAlignment="1">
      <alignment horizontal="center" vertical="center"/>
    </xf>
    <xf numFmtId="0" fontId="6" fillId="0" borderId="12" xfId="1" applyFont="1" applyBorder="1" applyAlignment="1">
      <alignment vertical="center"/>
    </xf>
    <xf numFmtId="0" fontId="6" fillId="0" borderId="14" xfId="1" applyFont="1" applyBorder="1" applyAlignment="1">
      <alignment vertical="center"/>
    </xf>
    <xf numFmtId="0" fontId="5" fillId="0" borderId="11" xfId="1" applyFont="1" applyBorder="1" applyAlignment="1">
      <alignment horizontal="center" vertical="center"/>
    </xf>
    <xf numFmtId="0" fontId="4" fillId="0" borderId="14" xfId="1" applyFont="1" applyBorder="1" applyAlignment="1">
      <alignment horizontal="center" vertical="center" wrapText="1"/>
    </xf>
    <xf numFmtId="9" fontId="9" fillId="0" borderId="4" xfId="0" applyNumberFormat="1" applyFont="1" applyBorder="1" applyAlignment="1" applyProtection="1">
      <alignment vertical="center"/>
      <protection hidden="1"/>
    </xf>
    <xf numFmtId="0" fontId="4" fillId="0" borderId="36" xfId="1" applyFont="1" applyBorder="1" applyAlignment="1">
      <alignment horizontal="right" vertical="center" wrapText="1"/>
    </xf>
    <xf numFmtId="0" fontId="5" fillId="0" borderId="25" xfId="1" applyFont="1" applyBorder="1" applyAlignment="1">
      <alignment horizontal="right" vertical="center"/>
    </xf>
    <xf numFmtId="2" fontId="9" fillId="0" borderId="0" xfId="0" applyNumberFormat="1" applyFont="1" applyAlignment="1">
      <alignment horizontal="center" vertical="center"/>
    </xf>
    <xf numFmtId="9" fontId="9" fillId="0" borderId="0" xfId="0" applyNumberFormat="1" applyFont="1" applyAlignment="1" applyProtection="1">
      <alignment horizontal="center" vertical="center"/>
      <protection hidden="1"/>
    </xf>
    <xf numFmtId="0" fontId="4" fillId="2" borderId="11" xfId="1" applyFont="1" applyFill="1" applyBorder="1" applyAlignment="1">
      <alignment horizontal="right" vertical="center" wrapText="1"/>
    </xf>
    <xf numFmtId="0" fontId="7" fillId="2" borderId="13" xfId="1" applyFont="1" applyFill="1" applyBorder="1" applyAlignment="1">
      <alignment horizontal="right" vertical="center" wrapText="1"/>
    </xf>
    <xf numFmtId="0" fontId="4" fillId="2" borderId="13" xfId="1" applyFont="1" applyFill="1" applyBorder="1" applyAlignment="1">
      <alignment horizontal="right" vertical="center" wrapText="1"/>
    </xf>
    <xf numFmtId="0" fontId="4" fillId="0" borderId="12" xfId="1" applyFont="1" applyBorder="1" applyAlignment="1">
      <alignment horizontal="center" vertical="center" wrapText="1"/>
    </xf>
    <xf numFmtId="0" fontId="4" fillId="0" borderId="10" xfId="1" applyFont="1" applyBorder="1" applyAlignment="1">
      <alignment horizontal="center" vertical="center" wrapText="1"/>
    </xf>
    <xf numFmtId="0" fontId="9" fillId="0" borderId="1" xfId="0" applyFont="1" applyBorder="1" applyAlignment="1">
      <alignment horizontal="center" vertical="center"/>
    </xf>
    <xf numFmtId="0" fontId="24" fillId="0" borderId="0" xfId="0" applyFont="1"/>
    <xf numFmtId="0" fontId="24" fillId="7" borderId="4" xfId="0" applyFont="1" applyFill="1" applyBorder="1"/>
    <xf numFmtId="0" fontId="24" fillId="9" borderId="4" xfId="0" applyFont="1" applyFill="1" applyBorder="1"/>
    <xf numFmtId="0" fontId="24" fillId="10" borderId="4" xfId="0" applyFont="1" applyFill="1" applyBorder="1"/>
    <xf numFmtId="0" fontId="24" fillId="6" borderId="4" xfId="0" applyFont="1" applyFill="1" applyBorder="1"/>
    <xf numFmtId="0" fontId="25" fillId="8" borderId="4" xfId="0" applyFont="1" applyFill="1" applyBorder="1" applyAlignment="1">
      <alignment horizontal="center" vertical="center"/>
    </xf>
    <xf numFmtId="0" fontId="25" fillId="0" borderId="0" xfId="0" applyFont="1" applyAlignment="1">
      <alignment horizontal="center" vertical="center"/>
    </xf>
    <xf numFmtId="0" fontId="24" fillId="12" borderId="0" xfId="0" applyFont="1" applyFill="1"/>
    <xf numFmtId="0" fontId="0" fillId="12" borderId="0" xfId="0" applyFill="1"/>
    <xf numFmtId="0" fontId="26" fillId="0" borderId="0" xfId="0" applyFont="1" applyAlignment="1">
      <alignment horizontal="center" vertical="center"/>
    </xf>
    <xf numFmtId="0" fontId="27" fillId="0" borderId="0" xfId="0" applyFont="1" applyAlignment="1">
      <alignment horizontal="center" vertical="center"/>
    </xf>
    <xf numFmtId="0" fontId="25" fillId="7" borderId="4" xfId="0" applyFont="1" applyFill="1" applyBorder="1" applyAlignment="1">
      <alignment horizontal="center" vertical="center"/>
    </xf>
    <xf numFmtId="0" fontId="25" fillId="9" borderId="4" xfId="0" applyFont="1" applyFill="1" applyBorder="1" applyAlignment="1">
      <alignment horizontal="center" vertical="center"/>
    </xf>
    <xf numFmtId="0" fontId="25" fillId="10" borderId="4" xfId="0" applyFont="1" applyFill="1" applyBorder="1" applyAlignment="1">
      <alignment horizontal="center" vertical="center"/>
    </xf>
    <xf numFmtId="0" fontId="25" fillId="6" borderId="4" xfId="0" applyFont="1" applyFill="1" applyBorder="1" applyAlignment="1">
      <alignment horizontal="center" vertical="center"/>
    </xf>
    <xf numFmtId="43" fontId="25" fillId="0" borderId="0" xfId="2" applyFont="1" applyAlignment="1">
      <alignment horizontal="center" vertical="center"/>
    </xf>
    <xf numFmtId="0" fontId="25" fillId="10" borderId="4" xfId="0" applyFont="1" applyFill="1" applyBorder="1" applyAlignment="1">
      <alignment horizontal="center" vertical="center" wrapText="1"/>
    </xf>
    <xf numFmtId="0" fontId="25" fillId="9" borderId="4" xfId="0" applyFont="1" applyFill="1" applyBorder="1" applyAlignment="1">
      <alignment horizontal="center" vertical="center" wrapText="1"/>
    </xf>
    <xf numFmtId="0" fontId="21" fillId="11" borderId="4" xfId="3" applyFont="1" applyBorder="1" applyAlignment="1">
      <alignment horizontal="center" vertical="center"/>
    </xf>
    <xf numFmtId="0" fontId="9" fillId="0" borderId="0" xfId="0" applyFont="1" applyAlignment="1">
      <alignment horizontal="center" vertical="center"/>
    </xf>
    <xf numFmtId="0" fontId="7" fillId="0" borderId="11" xfId="1" applyFont="1" applyBorder="1" applyAlignment="1">
      <alignment vertical="center"/>
    </xf>
    <xf numFmtId="0" fontId="23" fillId="3" borderId="4" xfId="0" applyFont="1" applyFill="1" applyBorder="1" applyAlignment="1">
      <alignment horizontal="center" vertical="center" wrapText="1"/>
    </xf>
    <xf numFmtId="0" fontId="28" fillId="7" borderId="4" xfId="0" applyFont="1" applyFill="1" applyBorder="1" applyAlignment="1">
      <alignment horizontal="center" vertical="center"/>
    </xf>
    <xf numFmtId="0" fontId="28" fillId="9" borderId="4" xfId="0" applyFont="1" applyFill="1" applyBorder="1" applyAlignment="1">
      <alignment horizontal="center" vertical="center"/>
    </xf>
    <xf numFmtId="0" fontId="28" fillId="10" borderId="4" xfId="0" applyFont="1" applyFill="1" applyBorder="1" applyAlignment="1">
      <alignment horizontal="center" vertical="center"/>
    </xf>
    <xf numFmtId="0" fontId="28" fillId="6" borderId="4" xfId="0" applyFont="1" applyFill="1" applyBorder="1" applyAlignment="1">
      <alignment horizontal="center" vertical="center"/>
    </xf>
    <xf numFmtId="9" fontId="15" fillId="0" borderId="31" xfId="0" applyNumberFormat="1" applyFont="1" applyBorder="1" applyAlignment="1">
      <alignment horizontal="center" vertical="center"/>
    </xf>
    <xf numFmtId="9" fontId="15" fillId="0" borderId="34" xfId="0" applyNumberFormat="1" applyFont="1" applyBorder="1" applyAlignment="1">
      <alignment horizontal="center" vertical="center"/>
    </xf>
    <xf numFmtId="0" fontId="4" fillId="2" borderId="38" xfId="1" applyFont="1" applyFill="1" applyBorder="1" applyAlignment="1">
      <alignment horizontal="right" vertical="center" wrapText="1"/>
    </xf>
    <xf numFmtId="0" fontId="4" fillId="0" borderId="20" xfId="1" applyFont="1" applyBorder="1" applyAlignment="1">
      <alignment horizontal="center" vertical="center" readingOrder="2"/>
    </xf>
    <xf numFmtId="0" fontId="7" fillId="0" borderId="12" xfId="1" applyFont="1" applyBorder="1" applyAlignment="1">
      <alignment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9" fillId="0" borderId="44" xfId="0" applyFont="1" applyBorder="1" applyAlignment="1">
      <alignment horizontal="center" vertical="center"/>
    </xf>
    <xf numFmtId="0" fontId="9" fillId="0" borderId="15" xfId="0" applyFont="1" applyBorder="1" applyAlignment="1">
      <alignment horizontal="center" vertical="center"/>
    </xf>
    <xf numFmtId="0" fontId="9" fillId="0" borderId="16" xfId="0" applyFont="1" applyBorder="1" applyAlignment="1">
      <alignment horizontal="center" vertical="center"/>
    </xf>
    <xf numFmtId="0" fontId="9" fillId="0" borderId="48" xfId="0" applyFont="1" applyBorder="1" applyAlignment="1">
      <alignment horizontal="center" vertical="center"/>
    </xf>
    <xf numFmtId="0" fontId="9" fillId="0" borderId="49" xfId="0" applyFont="1" applyBorder="1" applyAlignment="1">
      <alignment horizontal="center" vertical="center"/>
    </xf>
    <xf numFmtId="2" fontId="9" fillId="0" borderId="49" xfId="0" applyNumberFormat="1"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0" fontId="9" fillId="0" borderId="54" xfId="0" applyFont="1" applyBorder="1" applyAlignment="1">
      <alignment horizontal="center" vertical="center"/>
    </xf>
    <xf numFmtId="9" fontId="9" fillId="0" borderId="4" xfId="0" applyNumberFormat="1" applyFont="1" applyBorder="1" applyAlignment="1" applyProtection="1">
      <alignment horizontal="center" vertical="center"/>
      <protection hidden="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5" fillId="0" borderId="12" xfId="1" applyFont="1" applyBorder="1" applyAlignment="1">
      <alignment horizontal="center" vertical="center"/>
    </xf>
    <xf numFmtId="0" fontId="5" fillId="0" borderId="10" xfId="1" applyFont="1" applyBorder="1" applyAlignment="1">
      <alignment horizontal="center" vertical="center"/>
    </xf>
    <xf numFmtId="0" fontId="2" fillId="0" borderId="4" xfId="0" applyFont="1" applyBorder="1" applyAlignment="1" applyProtection="1">
      <alignment horizontal="center" vertical="center"/>
      <protection hidden="1"/>
    </xf>
    <xf numFmtId="0" fontId="9" fillId="0" borderId="4" xfId="0" applyFont="1" applyBorder="1" applyAlignment="1" applyProtection="1">
      <alignment horizontal="center" vertical="center"/>
      <protection hidden="1"/>
    </xf>
    <xf numFmtId="0" fontId="9" fillId="0" borderId="4" xfId="2" applyNumberFormat="1" applyFont="1" applyBorder="1" applyAlignment="1" applyProtection="1">
      <alignment horizontal="center" vertical="center"/>
      <protection hidden="1"/>
    </xf>
    <xf numFmtId="9" fontId="9" fillId="0" borderId="4" xfId="0" applyNumberFormat="1" applyFont="1" applyBorder="1" applyAlignment="1" applyProtection="1">
      <alignment horizontal="center" vertical="center"/>
      <protection hidden="1"/>
    </xf>
    <xf numFmtId="9" fontId="9" fillId="0" borderId="50" xfId="0" applyNumberFormat="1" applyFont="1" applyBorder="1" applyAlignment="1" applyProtection="1">
      <alignment horizontal="center" vertical="center"/>
      <protection hidden="1"/>
    </xf>
    <xf numFmtId="0" fontId="14" fillId="5" borderId="15" xfId="0" applyFont="1" applyFill="1" applyBorder="1" applyAlignment="1">
      <alignment horizontal="center" vertical="center" wrapText="1"/>
    </xf>
    <xf numFmtId="0" fontId="14" fillId="5" borderId="16" xfId="0" applyFont="1" applyFill="1" applyBorder="1" applyAlignment="1">
      <alignment horizontal="center" vertical="center" wrapText="1"/>
    </xf>
    <xf numFmtId="0" fontId="14" fillId="5" borderId="21" xfId="0" applyFont="1" applyFill="1" applyBorder="1" applyAlignment="1">
      <alignment horizontal="center" vertical="center" wrapText="1"/>
    </xf>
    <xf numFmtId="0" fontId="14" fillId="5" borderId="17" xfId="0" applyFont="1" applyFill="1" applyBorder="1" applyAlignment="1">
      <alignment horizontal="center" vertical="center" wrapText="1"/>
    </xf>
    <xf numFmtId="0" fontId="14" fillId="5" borderId="18" xfId="0" applyFont="1" applyFill="1" applyBorder="1" applyAlignment="1">
      <alignment horizontal="center" vertical="center" wrapText="1"/>
    </xf>
    <xf numFmtId="0" fontId="14" fillId="5" borderId="5" xfId="0" applyFont="1" applyFill="1" applyBorder="1" applyAlignment="1">
      <alignment horizontal="center" vertical="center" wrapText="1"/>
    </xf>
    <xf numFmtId="0" fontId="14" fillId="5" borderId="8" xfId="0" applyFont="1" applyFill="1" applyBorder="1" applyAlignment="1">
      <alignment horizontal="center" vertical="center" wrapText="1"/>
    </xf>
    <xf numFmtId="0" fontId="14" fillId="5" borderId="19"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9" fontId="7" fillId="0" borderId="47" xfId="0" applyNumberFormat="1" applyFont="1" applyBorder="1" applyAlignment="1" applyProtection="1">
      <alignment horizontal="center" vertical="center"/>
      <protection hidden="1"/>
    </xf>
    <xf numFmtId="9" fontId="7" fillId="0" borderId="16" xfId="0" applyNumberFormat="1" applyFont="1" applyBorder="1" applyAlignment="1" applyProtection="1">
      <alignment horizontal="center" vertical="center"/>
      <protection hidden="1"/>
    </xf>
    <xf numFmtId="9" fontId="7" fillId="0" borderId="17" xfId="0" applyNumberFormat="1" applyFont="1" applyBorder="1" applyAlignment="1" applyProtection="1">
      <alignment horizontal="center" vertical="center"/>
      <protection hidden="1"/>
    </xf>
    <xf numFmtId="9" fontId="9" fillId="2" borderId="4" xfId="0" applyNumberFormat="1" applyFont="1" applyFill="1" applyBorder="1" applyAlignment="1">
      <alignment horizontal="center" vertical="center"/>
    </xf>
    <xf numFmtId="9" fontId="9" fillId="2" borderId="50" xfId="0" applyNumberFormat="1" applyFont="1" applyFill="1" applyBorder="1" applyAlignment="1">
      <alignment horizontal="center" vertical="center"/>
    </xf>
    <xf numFmtId="9" fontId="9" fillId="2" borderId="5" xfId="0" applyNumberFormat="1" applyFont="1" applyFill="1" applyBorder="1" applyAlignment="1">
      <alignment horizontal="center" vertical="center"/>
    </xf>
    <xf numFmtId="0" fontId="16" fillId="2" borderId="8" xfId="0" applyFont="1" applyFill="1" applyBorder="1" applyAlignment="1">
      <alignment horizontal="center" vertical="center" wrapText="1"/>
    </xf>
    <xf numFmtId="0" fontId="16" fillId="2" borderId="26" xfId="0" applyFont="1" applyFill="1" applyBorder="1" applyAlignment="1">
      <alignment horizontal="center" vertical="center" wrapText="1"/>
    </xf>
    <xf numFmtId="0" fontId="16" fillId="2" borderId="27" xfId="0" applyFont="1" applyFill="1" applyBorder="1" applyAlignment="1">
      <alignment horizontal="center" vertical="center" wrapText="1"/>
    </xf>
    <xf numFmtId="0" fontId="2" fillId="0" borderId="21" xfId="0" applyFont="1" applyBorder="1" applyAlignment="1">
      <alignment horizontal="center" vertical="center" wrapText="1"/>
    </xf>
    <xf numFmtId="0" fontId="2" fillId="0" borderId="46" xfId="0" applyFont="1" applyBorder="1" applyAlignment="1">
      <alignment horizontal="center" vertical="center" wrapText="1"/>
    </xf>
    <xf numFmtId="0" fontId="2" fillId="0" borderId="47"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4" xfId="0" applyFont="1" applyBorder="1" applyAlignment="1">
      <alignment horizontal="right" vertical="top" wrapText="1"/>
    </xf>
    <xf numFmtId="0" fontId="9" fillId="0" borderId="4" xfId="0" applyFont="1" applyBorder="1" applyAlignment="1">
      <alignment horizontal="right" vertical="top"/>
    </xf>
    <xf numFmtId="0" fontId="10" fillId="3" borderId="4" xfId="0" applyFont="1" applyFill="1" applyBorder="1" applyAlignment="1">
      <alignment horizontal="center" vertical="center" wrapText="1"/>
    </xf>
    <xf numFmtId="9" fontId="7" fillId="0" borderId="3" xfId="0" applyNumberFormat="1" applyFont="1" applyBorder="1" applyAlignment="1" applyProtection="1">
      <alignment horizontal="center" vertical="center"/>
      <protection hidden="1"/>
    </xf>
    <xf numFmtId="9" fontId="7" fillId="0" borderId="4" xfId="0" applyNumberFormat="1" applyFont="1" applyBorder="1" applyAlignment="1" applyProtection="1">
      <alignment horizontal="center" vertical="center"/>
      <protection hidden="1"/>
    </xf>
    <xf numFmtId="9" fontId="7" fillId="0" borderId="50" xfId="0" applyNumberFormat="1" applyFont="1" applyBorder="1" applyAlignment="1" applyProtection="1">
      <alignment horizontal="center" vertical="center"/>
      <protection hidden="1"/>
    </xf>
    <xf numFmtId="9" fontId="15" fillId="0" borderId="42" xfId="0" applyNumberFormat="1" applyFont="1" applyBorder="1" applyAlignment="1">
      <alignment horizontal="center" vertical="center"/>
    </xf>
    <xf numFmtId="9" fontId="15" fillId="0" borderId="43" xfId="0" applyNumberFormat="1" applyFont="1" applyBorder="1" applyAlignment="1">
      <alignment horizontal="center" vertical="center"/>
    </xf>
    <xf numFmtId="9" fontId="15" fillId="0" borderId="44" xfId="0" applyNumberFormat="1" applyFont="1" applyBorder="1" applyAlignment="1">
      <alignment horizontal="center" vertical="center"/>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6" fillId="2" borderId="51"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6" fillId="2" borderId="3" xfId="0" applyFont="1" applyFill="1" applyBorder="1" applyAlignment="1">
      <alignment horizontal="center" vertical="center" wrapText="1"/>
    </xf>
    <xf numFmtId="9" fontId="15" fillId="0" borderId="45" xfId="0" applyNumberFormat="1" applyFont="1" applyBorder="1" applyAlignment="1">
      <alignment horizontal="center" vertical="center"/>
    </xf>
    <xf numFmtId="0" fontId="17" fillId="2" borderId="2"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14" fillId="5" borderId="26" xfId="0" applyFont="1" applyFill="1" applyBorder="1" applyAlignment="1">
      <alignment horizontal="center" vertical="center" wrapText="1"/>
    </xf>
    <xf numFmtId="0" fontId="14" fillId="5" borderId="27" xfId="0" applyFont="1" applyFill="1" applyBorder="1" applyAlignment="1">
      <alignment horizontal="center" vertical="center" wrapText="1"/>
    </xf>
    <xf numFmtId="0" fontId="14" fillId="5" borderId="9" xfId="0" applyFont="1" applyFill="1" applyBorder="1" applyAlignment="1">
      <alignment horizontal="center" vertical="center" wrapText="1"/>
    </xf>
    <xf numFmtId="0" fontId="14" fillId="5" borderId="28" xfId="0" applyFont="1" applyFill="1" applyBorder="1" applyAlignment="1">
      <alignment horizontal="center" vertical="center" wrapText="1"/>
    </xf>
    <xf numFmtId="0" fontId="14" fillId="5" borderId="29" xfId="0" applyFont="1" applyFill="1" applyBorder="1" applyAlignment="1">
      <alignment horizontal="center" vertical="center" wrapText="1"/>
    </xf>
    <xf numFmtId="0" fontId="4" fillId="2" borderId="11" xfId="1" applyFont="1" applyFill="1" applyBorder="1" applyAlignment="1">
      <alignment horizontal="right" vertical="center" wrapText="1"/>
    </xf>
    <xf numFmtId="0" fontId="4" fillId="2" borderId="14" xfId="1" applyFont="1" applyFill="1" applyBorder="1" applyAlignment="1">
      <alignment horizontal="right" vertical="center" wrapText="1"/>
    </xf>
    <xf numFmtId="0" fontId="7" fillId="2" borderId="13" xfId="1" applyFont="1" applyFill="1" applyBorder="1" applyAlignment="1">
      <alignment horizontal="right" vertical="center" wrapText="1"/>
    </xf>
    <xf numFmtId="0" fontId="7" fillId="2" borderId="14" xfId="1" applyFont="1" applyFill="1" applyBorder="1" applyAlignment="1">
      <alignment horizontal="right" vertical="center" wrapText="1"/>
    </xf>
    <xf numFmtId="0" fontId="4" fillId="2" borderId="13" xfId="1" applyFont="1" applyFill="1" applyBorder="1" applyAlignment="1">
      <alignment horizontal="right" vertical="center" wrapText="1"/>
    </xf>
    <xf numFmtId="0" fontId="4" fillId="2" borderId="41" xfId="1" applyFont="1" applyFill="1" applyBorder="1" applyAlignment="1">
      <alignment horizontal="right" vertical="center" wrapText="1"/>
    </xf>
    <xf numFmtId="0" fontId="4" fillId="2" borderId="37" xfId="1" applyFont="1" applyFill="1" applyBorder="1" applyAlignment="1">
      <alignment horizontal="right" vertical="center" wrapText="1"/>
    </xf>
    <xf numFmtId="0" fontId="4" fillId="2" borderId="23" xfId="1" applyFont="1" applyFill="1" applyBorder="1" applyAlignment="1">
      <alignment horizontal="center" vertical="center" wrapText="1"/>
    </xf>
    <xf numFmtId="0" fontId="4" fillId="2" borderId="24" xfId="1" applyFont="1" applyFill="1" applyBorder="1" applyAlignment="1">
      <alignment horizontal="center" vertical="center" wrapText="1"/>
    </xf>
    <xf numFmtId="0" fontId="4" fillId="2" borderId="25" xfId="1"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53" xfId="0" applyFont="1" applyBorder="1" applyAlignment="1">
      <alignment horizontal="center" vertical="center" wrapText="1"/>
    </xf>
    <xf numFmtId="9" fontId="9" fillId="0" borderId="3" xfId="0" applyNumberFormat="1" applyFont="1" applyBorder="1" applyAlignment="1" applyProtection="1">
      <alignment horizontal="center" vertical="center"/>
      <protection hidden="1"/>
    </xf>
    <xf numFmtId="9" fontId="15" fillId="0" borderId="30" xfId="0" applyNumberFormat="1" applyFont="1" applyBorder="1" applyAlignment="1">
      <alignment horizontal="center" vertical="center"/>
    </xf>
    <xf numFmtId="9" fontId="15" fillId="0" borderId="31" xfId="0" applyNumberFormat="1" applyFont="1" applyBorder="1" applyAlignment="1">
      <alignment horizontal="center" vertical="center"/>
    </xf>
    <xf numFmtId="9" fontId="15" fillId="0" borderId="32" xfId="0" applyNumberFormat="1" applyFont="1" applyBorder="1" applyAlignment="1">
      <alignment horizontal="center" vertical="center"/>
    </xf>
    <xf numFmtId="9" fontId="15" fillId="0" borderId="33" xfId="0" applyNumberFormat="1" applyFont="1" applyBorder="1" applyAlignment="1">
      <alignment horizontal="center" vertical="center"/>
    </xf>
    <xf numFmtId="9" fontId="15" fillId="0" borderId="34" xfId="0" applyNumberFormat="1" applyFont="1" applyBorder="1" applyAlignment="1">
      <alignment horizontal="center" vertical="center"/>
    </xf>
    <xf numFmtId="9" fontId="15" fillId="0" borderId="35" xfId="0" applyNumberFormat="1" applyFont="1" applyBorder="1" applyAlignment="1">
      <alignment horizontal="center" vertical="center"/>
    </xf>
    <xf numFmtId="0" fontId="5" fillId="0" borderId="38" xfId="1" applyFont="1" applyBorder="1" applyAlignment="1">
      <alignment horizontal="center" vertical="center"/>
    </xf>
    <xf numFmtId="0" fontId="5" fillId="0" borderId="40" xfId="1" applyFont="1" applyBorder="1" applyAlignment="1">
      <alignment horizontal="center" vertical="center"/>
    </xf>
    <xf numFmtId="0" fontId="5" fillId="0" borderId="39" xfId="1" applyFont="1" applyBorder="1" applyAlignment="1">
      <alignment horizontal="center" vertical="center"/>
    </xf>
    <xf numFmtId="0" fontId="5" fillId="0" borderId="11" xfId="1" applyFont="1" applyBorder="1" applyAlignment="1">
      <alignment horizontal="center" vertical="center"/>
    </xf>
    <xf numFmtId="0" fontId="5" fillId="0" borderId="12" xfId="1" applyFont="1" applyBorder="1" applyAlignment="1">
      <alignment horizontal="center" vertical="center"/>
    </xf>
    <xf numFmtId="0" fontId="5" fillId="0" borderId="22" xfId="1" applyFont="1" applyBorder="1" applyAlignment="1">
      <alignment horizontal="center" vertical="center"/>
    </xf>
    <xf numFmtId="0" fontId="5" fillId="0" borderId="14" xfId="1" applyFont="1" applyBorder="1" applyAlignment="1">
      <alignment horizontal="center" vertical="center"/>
    </xf>
    <xf numFmtId="0" fontId="16" fillId="2" borderId="28" xfId="0" applyFont="1" applyFill="1" applyBorder="1" applyAlignment="1">
      <alignment horizontal="center" vertical="center" wrapText="1"/>
    </xf>
    <xf numFmtId="0" fontId="16" fillId="2" borderId="29" xfId="0" applyFont="1" applyFill="1" applyBorder="1" applyAlignment="1">
      <alignment horizontal="center" vertical="center" wrapText="1"/>
    </xf>
    <xf numFmtId="0" fontId="1" fillId="0" borderId="10" xfId="0" applyFont="1" applyBorder="1" applyAlignment="1">
      <alignment horizontal="center" vertical="center" wrapText="1"/>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10" fillId="4" borderId="4" xfId="0" applyFont="1" applyFill="1" applyBorder="1" applyAlignment="1">
      <alignment horizontal="center" vertical="center" wrapText="1"/>
    </xf>
    <xf numFmtId="0" fontId="13" fillId="0" borderId="4" xfId="0" applyFont="1" applyBorder="1" applyAlignment="1">
      <alignment horizontal="center" vertical="center"/>
    </xf>
    <xf numFmtId="0" fontId="2" fillId="0" borderId="4" xfId="0" applyFont="1" applyBorder="1" applyAlignment="1">
      <alignment horizontal="center" vertical="center"/>
    </xf>
    <xf numFmtId="9" fontId="8" fillId="0" borderId="1" xfId="0" applyNumberFormat="1" applyFont="1" applyBorder="1" applyAlignment="1" applyProtection="1">
      <alignment horizontal="center" vertical="center" wrapText="1"/>
      <protection hidden="1"/>
    </xf>
    <xf numFmtId="9" fontId="8" fillId="0" borderId="2" xfId="0" applyNumberFormat="1" applyFont="1" applyBorder="1" applyAlignment="1" applyProtection="1">
      <alignment horizontal="center" vertical="center" wrapText="1"/>
      <protection hidden="1"/>
    </xf>
    <xf numFmtId="0" fontId="2" fillId="0" borderId="2" xfId="0" applyFont="1" applyBorder="1" applyAlignment="1">
      <alignment horizontal="center" vertical="center"/>
    </xf>
    <xf numFmtId="0" fontId="8" fillId="0" borderId="2" xfId="2" applyNumberFormat="1" applyFont="1" applyBorder="1" applyAlignment="1" applyProtection="1">
      <alignment horizontal="center" vertical="center"/>
      <protection hidden="1"/>
    </xf>
    <xf numFmtId="0" fontId="8" fillId="0" borderId="3" xfId="2" applyNumberFormat="1" applyFont="1" applyBorder="1" applyAlignment="1" applyProtection="1">
      <alignment horizontal="center" vertical="center"/>
      <protection hidden="1"/>
    </xf>
    <xf numFmtId="0" fontId="2" fillId="0" borderId="8" xfId="0" applyFont="1" applyBorder="1" applyAlignment="1">
      <alignment horizontal="center" vertical="center" wrapText="1"/>
    </xf>
    <xf numFmtId="0" fontId="2" fillId="0" borderId="26" xfId="0" applyFont="1" applyBorder="1" applyAlignment="1">
      <alignment horizontal="center" vertical="center" wrapText="1"/>
    </xf>
    <xf numFmtId="9" fontId="9" fillId="0" borderId="1" xfId="0" applyNumberFormat="1" applyFont="1" applyBorder="1" applyAlignment="1" applyProtection="1">
      <alignment horizontal="center" vertical="center" wrapText="1"/>
      <protection hidden="1"/>
    </xf>
    <xf numFmtId="9" fontId="9" fillId="0" borderId="2" xfId="0" applyNumberFormat="1" applyFont="1" applyBorder="1" applyAlignment="1" applyProtection="1">
      <alignment horizontal="center" vertical="center" wrapText="1"/>
      <protection hidden="1"/>
    </xf>
    <xf numFmtId="9" fontId="9" fillId="0" borderId="3" xfId="0" applyNumberFormat="1" applyFont="1" applyBorder="1" applyAlignment="1" applyProtection="1">
      <alignment horizontal="center" vertical="center" wrapText="1"/>
      <protection hidden="1"/>
    </xf>
    <xf numFmtId="0" fontId="4" fillId="0" borderId="11" xfId="1" applyFont="1" applyBorder="1" applyAlignment="1">
      <alignment horizontal="center" vertical="center" wrapText="1"/>
    </xf>
    <xf numFmtId="0" fontId="4" fillId="0" borderId="12" xfId="1" applyFont="1" applyBorder="1" applyAlignment="1">
      <alignment horizontal="center" vertical="center" wrapText="1"/>
    </xf>
    <xf numFmtId="0" fontId="4" fillId="0" borderId="14" xfId="1" applyFont="1" applyBorder="1" applyAlignment="1">
      <alignment horizontal="center" vertical="center" wrapText="1"/>
    </xf>
    <xf numFmtId="0" fontId="14" fillId="5" borderId="4"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4" fillId="2" borderId="36" xfId="1" applyFont="1" applyFill="1" applyBorder="1" applyAlignment="1">
      <alignment horizontal="right" vertical="center" wrapText="1"/>
    </xf>
    <xf numFmtId="0" fontId="5" fillId="0" borderId="36" xfId="1" applyFont="1" applyBorder="1" applyAlignment="1">
      <alignment horizontal="center" vertical="center"/>
    </xf>
    <xf numFmtId="0" fontId="5" fillId="0" borderId="10" xfId="1" applyFont="1" applyBorder="1" applyAlignment="1">
      <alignment horizontal="center" vertical="center"/>
    </xf>
    <xf numFmtId="0" fontId="4" fillId="0" borderId="38" xfId="1" applyFont="1" applyBorder="1" applyAlignment="1">
      <alignment horizontal="center" vertical="center" wrapText="1"/>
    </xf>
    <xf numFmtId="0" fontId="4" fillId="0" borderId="40" xfId="1" applyFont="1" applyBorder="1" applyAlignment="1">
      <alignment horizontal="center" vertical="center" wrapText="1"/>
    </xf>
    <xf numFmtId="0" fontId="4" fillId="0" borderId="39" xfId="1" applyFont="1" applyBorder="1" applyAlignment="1">
      <alignment horizontal="center" vertical="center" wrapText="1"/>
    </xf>
    <xf numFmtId="2" fontId="29" fillId="0" borderId="1" xfId="0" applyNumberFormat="1" applyFont="1" applyBorder="1" applyAlignment="1">
      <alignment horizontal="center" vertical="center"/>
    </xf>
    <xf numFmtId="2" fontId="9" fillId="0" borderId="2" xfId="0" applyNumberFormat="1" applyFont="1" applyBorder="1" applyAlignment="1">
      <alignment horizontal="center" vertical="center"/>
    </xf>
    <xf numFmtId="0" fontId="29" fillId="0" borderId="3" xfId="0" applyFont="1" applyBorder="1" applyAlignment="1">
      <alignment horizontal="center" vertical="center"/>
    </xf>
    <xf numFmtId="0" fontId="9" fillId="0" borderId="4" xfId="0" applyFont="1" applyBorder="1" applyAlignment="1">
      <alignment horizontal="center" vertical="center"/>
    </xf>
  </cellXfs>
  <cellStyles count="4">
    <cellStyle name="Comma" xfId="2" builtinId="3"/>
    <cellStyle name="Good" xfId="3" builtinId="26"/>
    <cellStyle name="Normal" xfId="0" builtinId="0"/>
    <cellStyle name="Normal 2" xfId="1" xr:uid="{00000000-0005-0000-0000-000003000000}"/>
  </cellStyles>
  <dxfs count="272">
    <dxf>
      <font>
        <color rgb="FF006100"/>
      </font>
      <fill>
        <patternFill>
          <bgColor rgb="FFC6EFCE"/>
        </patternFill>
      </fill>
    </dxf>
    <dxf>
      <fill>
        <patternFill>
          <bgColor theme="5" tint="-0.24994659260841701"/>
        </patternFill>
      </fill>
    </dxf>
    <dxf>
      <font>
        <color auto="1"/>
      </font>
      <fill>
        <patternFill>
          <bgColor theme="5"/>
        </patternFill>
      </fill>
    </dxf>
    <dxf>
      <font>
        <color auto="1"/>
      </font>
      <fill>
        <patternFill>
          <bgColor rgb="FFFF0000"/>
        </patternFill>
      </fill>
    </dxf>
    <dxf>
      <fill>
        <patternFill>
          <bgColor rgb="FFFF0000"/>
        </patternFill>
      </fill>
    </dxf>
    <dxf>
      <fill>
        <patternFill>
          <bgColor theme="7" tint="0.79998168889431442"/>
        </patternFill>
      </fill>
    </dxf>
    <dxf>
      <fill>
        <patternFill>
          <bgColor theme="9" tint="0.79998168889431442"/>
        </patternFill>
      </fill>
    </dxf>
    <dxf>
      <font>
        <color auto="1"/>
      </font>
      <fill>
        <patternFill>
          <bgColor rgb="FFFFEB9C"/>
        </patternFill>
      </fill>
    </dxf>
    <dxf>
      <fill>
        <patternFill>
          <bgColor theme="5"/>
        </patternFill>
      </fill>
    </dxf>
    <dxf>
      <font>
        <color theme="0"/>
      </font>
      <fill>
        <patternFill>
          <bgColor rgb="FFFF0000"/>
        </patternFill>
      </fill>
    </dxf>
    <dxf>
      <fill>
        <patternFill>
          <bgColor rgb="FFFFEB9C"/>
        </patternFill>
      </fill>
    </dxf>
    <dxf>
      <fill>
        <patternFill>
          <bgColor theme="9"/>
        </patternFill>
      </fill>
    </dxf>
    <dxf>
      <fill>
        <patternFill>
          <bgColor rgb="FFFF0000"/>
        </patternFill>
      </fill>
    </dxf>
    <dxf>
      <fill>
        <patternFill>
          <bgColor theme="9" tint="0.79998168889431442"/>
        </patternFill>
      </fill>
    </dxf>
    <dxf>
      <fill>
        <patternFill>
          <bgColor theme="7" tint="0.79998168889431442"/>
        </patternFill>
      </fill>
    </dxf>
    <dxf>
      <fill>
        <patternFill>
          <bgColor theme="5" tint="-0.24994659260841701"/>
        </patternFill>
      </fill>
    </dxf>
    <dxf>
      <fill>
        <patternFill>
          <bgColor rgb="FFFF0000"/>
        </patternFill>
      </fill>
    </dxf>
    <dxf>
      <fill>
        <patternFill>
          <bgColor theme="5" tint="-0.24994659260841701"/>
        </patternFill>
      </fill>
    </dxf>
    <dxf>
      <fill>
        <patternFill>
          <bgColor theme="7" tint="0.79998168889431442"/>
        </patternFill>
      </fill>
    </dxf>
    <dxf>
      <fill>
        <patternFill>
          <bgColor theme="9" tint="0.79998168889431442"/>
        </patternFill>
      </fill>
    </dxf>
    <dxf>
      <font>
        <color rgb="FF006100"/>
      </font>
      <fill>
        <patternFill>
          <bgColor rgb="FFC6EFCE"/>
        </patternFill>
      </fill>
    </dxf>
    <dxf>
      <font>
        <color auto="1"/>
      </font>
      <fill>
        <patternFill>
          <bgColor rgb="FFFF0000"/>
        </patternFill>
      </fill>
    </dxf>
    <dxf>
      <font>
        <color auto="1"/>
      </font>
      <fill>
        <patternFill>
          <bgColor theme="5"/>
        </patternFill>
      </fill>
    </dxf>
    <dxf>
      <font>
        <color auto="1"/>
      </font>
      <fill>
        <patternFill>
          <bgColor rgb="FFFFEB9C"/>
        </patternFill>
      </fill>
    </dxf>
    <dxf>
      <fill>
        <patternFill>
          <bgColor rgb="FFFF0000"/>
        </patternFill>
      </fill>
    </dxf>
    <dxf>
      <fill>
        <patternFill>
          <bgColor theme="5" tint="-0.24994659260841701"/>
        </patternFill>
      </fill>
    </dxf>
    <dxf>
      <fill>
        <patternFill>
          <bgColor theme="7" tint="0.79998168889431442"/>
        </patternFill>
      </fill>
    </dxf>
    <dxf>
      <fill>
        <patternFill>
          <bgColor theme="9" tint="0.79998168889431442"/>
        </patternFill>
      </fill>
    </dxf>
    <dxf>
      <fill>
        <patternFill>
          <bgColor theme="5" tint="-0.24994659260841701"/>
        </patternFill>
      </fill>
    </dxf>
    <dxf>
      <fill>
        <patternFill>
          <bgColor theme="9" tint="0.79998168889431442"/>
        </patternFill>
      </fill>
    </dxf>
    <dxf>
      <fill>
        <patternFill>
          <bgColor rgb="FFFF0000"/>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5" tint="-0.24994659260841701"/>
        </patternFill>
      </fill>
    </dxf>
    <dxf>
      <fill>
        <patternFill>
          <bgColor rgb="FFFF0000"/>
        </patternFill>
      </fill>
    </dxf>
    <dxf>
      <fill>
        <patternFill>
          <bgColor rgb="FFFF0000"/>
        </patternFill>
      </fill>
    </dxf>
    <dxf>
      <fill>
        <patternFill>
          <bgColor theme="9" tint="0.79998168889431442"/>
        </patternFill>
      </fill>
    </dxf>
    <dxf>
      <fill>
        <patternFill>
          <bgColor theme="7" tint="0.79998168889431442"/>
        </patternFill>
      </fill>
    </dxf>
    <dxf>
      <fill>
        <patternFill>
          <bgColor theme="5" tint="-0.24994659260841701"/>
        </patternFill>
      </fill>
    </dxf>
    <dxf>
      <fill>
        <patternFill>
          <bgColor theme="9" tint="0.79998168889431442"/>
        </patternFill>
      </fill>
    </dxf>
    <dxf>
      <fill>
        <patternFill>
          <bgColor theme="5" tint="-0.24994659260841701"/>
        </patternFill>
      </fill>
    </dxf>
    <dxf>
      <fill>
        <patternFill>
          <bgColor rgb="FFFF0000"/>
        </patternFill>
      </fill>
    </dxf>
    <dxf>
      <fill>
        <patternFill>
          <bgColor theme="7" tint="0.79998168889431442"/>
        </patternFill>
      </fill>
    </dxf>
    <dxf>
      <fill>
        <patternFill>
          <bgColor rgb="FFFF0000"/>
        </patternFill>
      </fill>
    </dxf>
    <dxf>
      <fill>
        <patternFill>
          <bgColor theme="9" tint="0.79998168889431442"/>
        </patternFill>
      </fill>
    </dxf>
    <dxf>
      <fill>
        <patternFill>
          <bgColor theme="7" tint="0.79998168889431442"/>
        </patternFill>
      </fill>
    </dxf>
    <dxf>
      <fill>
        <patternFill>
          <bgColor theme="5" tint="-0.24994659260841701"/>
        </patternFill>
      </fill>
    </dxf>
    <dxf>
      <fill>
        <patternFill>
          <bgColor theme="9" tint="0.79998168889431442"/>
        </patternFill>
      </fill>
    </dxf>
    <dxf>
      <fill>
        <patternFill>
          <bgColor theme="5" tint="-0.24994659260841701"/>
        </patternFill>
      </fill>
    </dxf>
    <dxf>
      <fill>
        <patternFill>
          <bgColor rgb="FFFF0000"/>
        </patternFill>
      </fill>
    </dxf>
    <dxf>
      <fill>
        <patternFill>
          <bgColor theme="7" tint="0.79998168889431442"/>
        </patternFill>
      </fill>
    </dxf>
    <dxf>
      <fill>
        <patternFill>
          <bgColor theme="9" tint="0.79998168889431442"/>
        </patternFill>
      </fill>
    </dxf>
    <dxf>
      <fill>
        <patternFill>
          <bgColor theme="5" tint="-0.24994659260841701"/>
        </patternFill>
      </fill>
    </dxf>
    <dxf>
      <fill>
        <patternFill>
          <bgColor rgb="FFFF0000"/>
        </patternFill>
      </fill>
    </dxf>
    <dxf>
      <fill>
        <patternFill>
          <bgColor theme="5" tint="-0.24994659260841701"/>
        </patternFill>
      </fill>
    </dxf>
    <dxf>
      <fill>
        <patternFill>
          <bgColor theme="7" tint="0.79998168889431442"/>
        </patternFill>
      </fill>
    </dxf>
    <dxf>
      <fill>
        <patternFill>
          <bgColor rgb="FFFF0000"/>
        </patternFill>
      </fill>
    </dxf>
    <dxf>
      <fill>
        <patternFill>
          <bgColor theme="9" tint="0.79998168889431442"/>
        </patternFill>
      </fill>
    </dxf>
    <dxf>
      <fill>
        <patternFill>
          <bgColor theme="7" tint="0.79998168889431442"/>
        </patternFill>
      </fill>
    </dxf>
    <dxf>
      <fill>
        <patternFill>
          <bgColor theme="5" tint="-0.24994659260841701"/>
        </patternFill>
      </fill>
    </dxf>
    <dxf>
      <fill>
        <patternFill>
          <bgColor theme="7" tint="0.79998168889431442"/>
        </patternFill>
      </fill>
    </dxf>
    <dxf>
      <fill>
        <patternFill>
          <bgColor theme="5" tint="-0.24994659260841701"/>
        </patternFill>
      </fill>
    </dxf>
    <dxf>
      <fill>
        <patternFill>
          <bgColor theme="5" tint="-0.24994659260841701"/>
        </patternFill>
      </fill>
    </dxf>
    <dxf>
      <fill>
        <patternFill>
          <bgColor rgb="FFFF0000"/>
        </patternFill>
      </fill>
    </dxf>
    <dxf>
      <fill>
        <patternFill>
          <bgColor rgb="FFFF0000"/>
        </patternFill>
      </fill>
    </dxf>
    <dxf>
      <fill>
        <patternFill>
          <bgColor theme="9" tint="0.79998168889431442"/>
        </patternFill>
      </fill>
    </dxf>
    <dxf>
      <fill>
        <patternFill>
          <bgColor theme="9" tint="0.79998168889431442"/>
        </patternFill>
      </fill>
    </dxf>
    <dxf>
      <fill>
        <patternFill>
          <bgColor theme="7" tint="0.79998168889431442"/>
        </patternFill>
      </fill>
    </dxf>
    <dxf>
      <fill>
        <patternFill>
          <bgColor theme="7" tint="0.79998168889431442"/>
        </patternFill>
      </fill>
    </dxf>
    <dxf>
      <fill>
        <patternFill>
          <bgColor theme="5" tint="-0.24994659260841701"/>
        </patternFill>
      </fill>
    </dxf>
    <dxf>
      <font>
        <color rgb="FF006100"/>
      </font>
      <fill>
        <patternFill>
          <bgColor rgb="FFC6EFCE"/>
        </patternFill>
      </fill>
    </dxf>
    <dxf>
      <font>
        <color auto="1"/>
      </font>
      <fill>
        <patternFill>
          <bgColor rgb="FFFF0000"/>
        </patternFill>
      </fill>
    </dxf>
    <dxf>
      <font>
        <color auto="1"/>
      </font>
      <fill>
        <patternFill>
          <bgColor theme="5"/>
        </patternFill>
      </fill>
    </dxf>
    <dxf>
      <font>
        <color auto="1"/>
      </font>
      <fill>
        <patternFill>
          <bgColor rgb="FFFFEB9C"/>
        </patternFill>
      </fill>
    </dxf>
    <dxf>
      <fill>
        <patternFill>
          <bgColor rgb="FF00B0F0"/>
        </patternFill>
      </fill>
    </dxf>
    <dxf>
      <font>
        <color rgb="FF9C5700"/>
      </font>
      <fill>
        <patternFill>
          <bgColor rgb="FFFFEB9C"/>
        </patternFill>
      </fill>
    </dxf>
    <dxf>
      <fill>
        <patternFill>
          <bgColor theme="5" tint="-0.24994659260841701"/>
        </patternFill>
      </fill>
    </dxf>
    <dxf>
      <fill>
        <patternFill>
          <bgColor rgb="FFFF0000"/>
        </patternFill>
      </fill>
    </dxf>
    <dxf>
      <fill>
        <patternFill>
          <bgColor theme="9" tint="0.59996337778862885"/>
        </patternFill>
      </fill>
    </dxf>
    <dxf>
      <fill>
        <patternFill>
          <bgColor rgb="FFFF0000"/>
        </patternFill>
      </fill>
    </dxf>
    <dxf>
      <fill>
        <patternFill>
          <bgColor theme="7" tint="0.79998168889431442"/>
        </patternFill>
      </fill>
    </dxf>
    <dxf>
      <fill>
        <patternFill>
          <bgColor theme="5" tint="-0.24994659260841701"/>
        </patternFill>
      </fill>
    </dxf>
    <dxf>
      <fill>
        <patternFill>
          <bgColor theme="9" tint="0.79998168889431442"/>
        </patternFill>
      </fill>
    </dxf>
    <dxf>
      <fill>
        <patternFill>
          <bgColor theme="7" tint="0.79998168889431442"/>
        </patternFill>
      </fill>
    </dxf>
    <dxf>
      <fill>
        <patternFill>
          <bgColor theme="5" tint="-0.24994659260841701"/>
        </patternFill>
      </fill>
    </dxf>
    <dxf>
      <fill>
        <patternFill>
          <bgColor rgb="FFFF0000"/>
        </patternFill>
      </fill>
    </dxf>
    <dxf>
      <fill>
        <patternFill>
          <bgColor theme="9" tint="0.79998168889431442"/>
        </patternFill>
      </fill>
    </dxf>
    <dxf>
      <fill>
        <patternFill>
          <bgColor theme="7" tint="0.79998168889431442"/>
        </patternFill>
      </fill>
    </dxf>
    <dxf>
      <fill>
        <patternFill>
          <bgColor theme="5" tint="-0.24994659260841701"/>
        </patternFill>
      </fill>
    </dxf>
    <dxf>
      <fill>
        <patternFill>
          <bgColor rgb="FFFF0000"/>
        </patternFill>
      </fill>
    </dxf>
    <dxf>
      <fill>
        <patternFill>
          <bgColor theme="7" tint="0.79998168889431442"/>
        </patternFill>
      </fill>
    </dxf>
    <dxf>
      <fill>
        <patternFill>
          <bgColor theme="5" tint="-0.24994659260841701"/>
        </patternFill>
      </fill>
    </dxf>
    <dxf>
      <fill>
        <patternFill>
          <bgColor rgb="FFFF0000"/>
        </patternFill>
      </fill>
    </dxf>
    <dxf>
      <fill>
        <patternFill>
          <bgColor theme="9" tint="0.79998168889431442"/>
        </patternFill>
      </fill>
    </dxf>
    <dxf>
      <fill>
        <patternFill>
          <bgColor theme="9" tint="0.79998168889431442"/>
        </patternFill>
      </fill>
    </dxf>
    <dxf>
      <fill>
        <patternFill>
          <bgColor theme="7" tint="0.79998168889431442"/>
        </patternFill>
      </fill>
    </dxf>
    <dxf>
      <fill>
        <patternFill>
          <bgColor rgb="FFFF0000"/>
        </patternFill>
      </fill>
    </dxf>
    <dxf>
      <fill>
        <patternFill>
          <bgColor theme="5" tint="-0.24994659260841701"/>
        </patternFill>
      </fill>
    </dxf>
    <dxf>
      <fill>
        <patternFill>
          <bgColor theme="9" tint="0.79998168889431442"/>
        </patternFill>
      </fill>
    </dxf>
    <dxf>
      <fill>
        <patternFill>
          <bgColor theme="7" tint="0.59996337778862885"/>
        </patternFill>
      </fill>
    </dxf>
    <dxf>
      <fill>
        <patternFill>
          <bgColor theme="9" tint="0.79998168889431442"/>
        </patternFill>
      </fill>
    </dxf>
    <dxf>
      <fill>
        <patternFill>
          <bgColor theme="5" tint="-0.24994659260841701"/>
        </patternFill>
      </fill>
    </dxf>
    <dxf>
      <fill>
        <patternFill>
          <bgColor rgb="FFFF0000"/>
        </patternFill>
      </fill>
    </dxf>
    <dxf>
      <fill>
        <patternFill>
          <bgColor theme="7" tint="0.79998168889431442"/>
        </patternFill>
      </fill>
    </dxf>
    <dxf>
      <fill>
        <patternFill>
          <bgColor theme="5" tint="-0.24994659260841701"/>
        </patternFill>
      </fill>
    </dxf>
    <dxf>
      <fill>
        <patternFill>
          <bgColor theme="7" tint="0.79998168889431442"/>
        </patternFill>
      </fill>
    </dxf>
    <dxf>
      <fill>
        <patternFill>
          <bgColor theme="5" tint="-0.24994659260841701"/>
        </patternFill>
      </fill>
    </dxf>
    <dxf>
      <fill>
        <patternFill>
          <bgColor theme="9" tint="0.59996337778862885"/>
        </patternFill>
      </fill>
    </dxf>
    <dxf>
      <fill>
        <patternFill>
          <bgColor rgb="FFFF0000"/>
        </patternFill>
      </fill>
    </dxf>
    <dxf>
      <fill>
        <patternFill>
          <bgColor rgb="FF00B0F0"/>
        </patternFill>
      </fill>
    </dxf>
    <dxf>
      <font>
        <color rgb="FF9C5700"/>
      </font>
      <fill>
        <patternFill>
          <bgColor rgb="FFFFEB9C"/>
        </patternFill>
      </fill>
    </dxf>
    <dxf>
      <font>
        <color auto="1"/>
      </font>
      <fill>
        <patternFill>
          <bgColor rgb="FFFF0000"/>
        </patternFill>
      </fill>
    </dxf>
    <dxf>
      <font>
        <color auto="1"/>
      </font>
      <fill>
        <patternFill>
          <bgColor theme="5"/>
        </patternFill>
      </fill>
    </dxf>
    <dxf>
      <font>
        <color rgb="FF006100"/>
      </font>
      <fill>
        <patternFill>
          <bgColor rgb="FFC6EFCE"/>
        </patternFill>
      </fill>
    </dxf>
    <dxf>
      <font>
        <color auto="1"/>
      </font>
      <fill>
        <patternFill>
          <bgColor rgb="FFFFEB9C"/>
        </patternFill>
      </fill>
    </dxf>
    <dxf>
      <fill>
        <patternFill>
          <bgColor theme="7" tint="0.79998168889431442"/>
        </patternFill>
      </fill>
    </dxf>
    <dxf>
      <fill>
        <patternFill>
          <bgColor theme="5" tint="-0.24994659260841701"/>
        </patternFill>
      </fill>
    </dxf>
    <dxf>
      <fill>
        <patternFill>
          <bgColor rgb="FFFF0000"/>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rgb="FFFF0000"/>
        </patternFill>
      </fill>
    </dxf>
    <dxf>
      <fill>
        <patternFill>
          <bgColor theme="5" tint="-0.24994659260841701"/>
        </patternFill>
      </fill>
    </dxf>
    <dxf>
      <fill>
        <patternFill>
          <bgColor theme="9" tint="0.79998168889431442"/>
        </patternFill>
      </fill>
    </dxf>
    <dxf>
      <fill>
        <patternFill>
          <bgColor theme="7" tint="0.79998168889431442"/>
        </patternFill>
      </fill>
    </dxf>
    <dxf>
      <fill>
        <patternFill>
          <bgColor theme="5" tint="-0.24994659260841701"/>
        </patternFill>
      </fill>
    </dxf>
    <dxf>
      <fill>
        <patternFill>
          <bgColor rgb="FFFF0000"/>
        </patternFill>
      </fill>
    </dxf>
    <dxf>
      <fill>
        <patternFill>
          <bgColor theme="7" tint="0.79998168889431442"/>
        </patternFill>
      </fill>
    </dxf>
    <dxf>
      <fill>
        <patternFill>
          <bgColor theme="5" tint="-0.24994659260841701"/>
        </patternFill>
      </fill>
    </dxf>
    <dxf>
      <fill>
        <patternFill>
          <bgColor rgb="FFFF0000"/>
        </patternFill>
      </fill>
    </dxf>
    <dxf>
      <fill>
        <patternFill>
          <bgColor theme="9" tint="0.79998168889431442"/>
        </patternFill>
      </fill>
    </dxf>
    <dxf>
      <fill>
        <patternFill>
          <bgColor rgb="FFFF0000"/>
        </patternFill>
      </fill>
    </dxf>
    <dxf>
      <fill>
        <patternFill>
          <bgColor theme="5" tint="-0.24994659260841701"/>
        </patternFill>
      </fill>
    </dxf>
    <dxf>
      <fill>
        <patternFill>
          <bgColor theme="7" tint="0.79998168889431442"/>
        </patternFill>
      </fill>
    </dxf>
    <dxf>
      <fill>
        <patternFill>
          <bgColor theme="9" tint="0.79998168889431442"/>
        </patternFill>
      </fill>
    </dxf>
    <dxf>
      <fill>
        <patternFill>
          <bgColor theme="5" tint="-0.24994659260841701"/>
        </patternFill>
      </fill>
    </dxf>
    <dxf>
      <fill>
        <patternFill>
          <bgColor theme="7" tint="0.79998168889431442"/>
        </patternFill>
      </fill>
    </dxf>
    <dxf>
      <fill>
        <patternFill>
          <bgColor theme="9" tint="0.79998168889431442"/>
        </patternFill>
      </fill>
    </dxf>
    <dxf>
      <fill>
        <patternFill>
          <bgColor rgb="FFFF0000"/>
        </patternFill>
      </fill>
    </dxf>
    <dxf>
      <fill>
        <patternFill>
          <bgColor theme="9" tint="0.79998168889431442"/>
        </patternFill>
      </fill>
    </dxf>
    <dxf>
      <fill>
        <patternFill>
          <bgColor theme="7" tint="0.79998168889431442"/>
        </patternFill>
      </fill>
    </dxf>
    <dxf>
      <fill>
        <patternFill>
          <bgColor theme="5" tint="-0.24994659260841701"/>
        </patternFill>
      </fill>
    </dxf>
    <dxf>
      <fill>
        <patternFill>
          <bgColor rgb="FFFF0000"/>
        </patternFill>
      </fill>
    </dxf>
    <dxf>
      <fill>
        <patternFill>
          <bgColor rgb="FFFF0000"/>
        </patternFill>
      </fill>
    </dxf>
    <dxf>
      <fill>
        <patternFill>
          <bgColor theme="5" tint="-0.24994659260841701"/>
        </patternFill>
      </fill>
    </dxf>
    <dxf>
      <fill>
        <patternFill>
          <bgColor theme="7"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FF0000"/>
        </patternFill>
      </fill>
    </dxf>
    <dxf>
      <fill>
        <patternFill>
          <bgColor theme="5" tint="-0.24994659260841701"/>
        </patternFill>
      </fill>
    </dxf>
    <dxf>
      <fill>
        <patternFill>
          <bgColor theme="7" tint="0.79998168889431442"/>
        </patternFill>
      </fill>
    </dxf>
    <dxf>
      <font>
        <color auto="1"/>
      </font>
      <fill>
        <patternFill>
          <bgColor theme="5"/>
        </patternFill>
      </fill>
    </dxf>
    <dxf>
      <font>
        <color auto="1"/>
      </font>
      <fill>
        <patternFill>
          <bgColor rgb="FFFFEB9C"/>
        </patternFill>
      </fill>
    </dxf>
    <dxf>
      <font>
        <color auto="1"/>
      </font>
      <fill>
        <patternFill>
          <bgColor rgb="FFFF0000"/>
        </patternFill>
      </fill>
    </dxf>
    <dxf>
      <font>
        <color rgb="FF006100"/>
      </font>
      <fill>
        <patternFill>
          <bgColor rgb="FFC6EFCE"/>
        </patternFill>
      </fill>
    </dxf>
    <dxf>
      <fill>
        <patternFill>
          <bgColor rgb="FFFF0000"/>
        </patternFill>
      </fill>
    </dxf>
    <dxf>
      <fill>
        <patternFill>
          <bgColor theme="5" tint="-0.24994659260841701"/>
        </patternFill>
      </fill>
    </dxf>
    <dxf>
      <fill>
        <patternFill>
          <bgColor theme="7" tint="0.79998168889431442"/>
        </patternFill>
      </fill>
    </dxf>
    <dxf>
      <fill>
        <patternFill>
          <bgColor theme="9" tint="0.79998168889431442"/>
        </patternFill>
      </fill>
    </dxf>
    <dxf>
      <fill>
        <patternFill>
          <bgColor theme="5" tint="-0.24994659260841701"/>
        </patternFill>
      </fill>
    </dxf>
    <dxf>
      <fill>
        <patternFill>
          <bgColor rgb="FFFF0000"/>
        </patternFill>
      </fill>
    </dxf>
    <dxf>
      <fill>
        <patternFill>
          <bgColor theme="9" tint="0.79998168889431442"/>
        </patternFill>
      </fill>
    </dxf>
    <dxf>
      <fill>
        <patternFill>
          <bgColor theme="7" tint="0.79998168889431442"/>
        </patternFill>
      </fill>
    </dxf>
    <dxf>
      <fill>
        <patternFill>
          <bgColor theme="7" tint="0.79998168889431442"/>
        </patternFill>
      </fill>
    </dxf>
    <dxf>
      <fill>
        <patternFill>
          <bgColor theme="5" tint="-0.24994659260841701"/>
        </patternFill>
      </fill>
    </dxf>
    <dxf>
      <fill>
        <patternFill>
          <bgColor theme="9" tint="0.79998168889431442"/>
        </patternFill>
      </fill>
    </dxf>
    <dxf>
      <fill>
        <patternFill>
          <bgColor rgb="FFFF0000"/>
        </patternFill>
      </fill>
    </dxf>
    <dxf>
      <font>
        <color rgb="FF006100"/>
      </font>
      <fill>
        <patternFill>
          <bgColor rgb="FFC6EFCE"/>
        </patternFill>
      </fill>
    </dxf>
    <dxf>
      <font>
        <color auto="1"/>
      </font>
      <fill>
        <patternFill>
          <bgColor theme="5"/>
        </patternFill>
      </fill>
    </dxf>
    <dxf>
      <font>
        <color auto="1"/>
      </font>
      <fill>
        <patternFill>
          <bgColor rgb="FFFF0000"/>
        </patternFill>
      </fill>
    </dxf>
    <dxf>
      <font>
        <color auto="1"/>
      </font>
      <fill>
        <patternFill>
          <bgColor rgb="FFFFEB9C"/>
        </patternFill>
      </fill>
    </dxf>
    <dxf>
      <fill>
        <patternFill>
          <bgColor theme="7" tint="0.79998168889431442"/>
        </patternFill>
      </fill>
    </dxf>
    <dxf>
      <fill>
        <patternFill>
          <bgColor theme="9" tint="0.79998168889431442"/>
        </patternFill>
      </fill>
    </dxf>
    <dxf>
      <fill>
        <patternFill>
          <bgColor theme="5" tint="-0.24994659260841701"/>
        </patternFill>
      </fill>
    </dxf>
    <dxf>
      <fill>
        <patternFill>
          <bgColor rgb="FFFF0000"/>
        </patternFill>
      </fill>
    </dxf>
    <dxf>
      <fill>
        <patternFill>
          <bgColor theme="9" tint="0.79998168889431442"/>
        </patternFill>
      </fill>
    </dxf>
    <dxf>
      <fill>
        <patternFill>
          <bgColor theme="7" tint="0.79998168889431442"/>
        </patternFill>
      </fill>
    </dxf>
    <dxf>
      <fill>
        <patternFill>
          <bgColor rgb="FFFF0000"/>
        </patternFill>
      </fill>
    </dxf>
    <dxf>
      <fill>
        <patternFill>
          <bgColor theme="5" tint="-0.24994659260841701"/>
        </patternFill>
      </fill>
    </dxf>
    <dxf>
      <fill>
        <patternFill>
          <bgColor rgb="FFFF0000"/>
        </patternFill>
      </fill>
    </dxf>
    <dxf>
      <fill>
        <patternFill>
          <bgColor theme="5" tint="-0.24994659260841701"/>
        </patternFill>
      </fill>
    </dxf>
    <dxf>
      <fill>
        <patternFill>
          <bgColor theme="7" tint="0.79998168889431442"/>
        </patternFill>
      </fill>
    </dxf>
    <dxf>
      <fill>
        <patternFill>
          <bgColor theme="9" tint="0.79998168889431442"/>
        </patternFill>
      </fill>
    </dxf>
    <dxf>
      <fill>
        <patternFill>
          <bgColor rgb="FFFF0000"/>
        </patternFill>
      </fill>
    </dxf>
    <dxf>
      <fill>
        <patternFill>
          <bgColor theme="5" tint="-0.24994659260841701"/>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5" tint="-0.24994659260841701"/>
        </patternFill>
      </fill>
    </dxf>
    <dxf>
      <fill>
        <patternFill>
          <bgColor rgb="FFFF0000"/>
        </patternFill>
      </fill>
    </dxf>
    <dxf>
      <font>
        <color auto="1"/>
      </font>
      <fill>
        <patternFill>
          <bgColor theme="5"/>
        </patternFill>
      </fill>
    </dxf>
    <dxf>
      <font>
        <color auto="1"/>
      </font>
      <fill>
        <patternFill>
          <bgColor rgb="FFFFEB9C"/>
        </patternFill>
      </fill>
    </dxf>
    <dxf>
      <font>
        <color rgb="FF006100"/>
      </font>
      <fill>
        <patternFill>
          <bgColor rgb="FFC6EFCE"/>
        </patternFill>
      </fill>
    </dxf>
    <dxf>
      <font>
        <color auto="1"/>
      </font>
      <fill>
        <patternFill>
          <bgColor rgb="FFFF0000"/>
        </patternFill>
      </fill>
    </dxf>
    <dxf>
      <fill>
        <patternFill>
          <bgColor theme="7" tint="0.79998168889431442"/>
        </patternFill>
      </fill>
    </dxf>
    <dxf>
      <fill>
        <patternFill>
          <bgColor theme="5" tint="-0.24994659260841701"/>
        </patternFill>
      </fill>
    </dxf>
    <dxf>
      <fill>
        <patternFill>
          <bgColor rgb="FFFF0000"/>
        </patternFill>
      </fill>
    </dxf>
    <dxf>
      <fill>
        <patternFill>
          <bgColor theme="9" tint="0.79998168889431442"/>
        </patternFill>
      </fill>
    </dxf>
    <dxf>
      <fill>
        <patternFill>
          <bgColor theme="9" tint="0.79998168889431442"/>
        </patternFill>
      </fill>
    </dxf>
    <dxf>
      <fill>
        <patternFill>
          <bgColor theme="7" tint="0.79998168889431442"/>
        </patternFill>
      </fill>
    </dxf>
    <dxf>
      <fill>
        <patternFill>
          <bgColor rgb="FFFF0000"/>
        </patternFill>
      </fill>
    </dxf>
    <dxf>
      <fill>
        <patternFill>
          <bgColor theme="5" tint="-0.24994659260841701"/>
        </patternFill>
      </fill>
    </dxf>
    <dxf>
      <fill>
        <patternFill>
          <bgColor theme="5" tint="-0.24994659260841701"/>
        </patternFill>
      </fill>
    </dxf>
    <dxf>
      <fill>
        <patternFill>
          <bgColor rgb="FFFF0000"/>
        </patternFill>
      </fill>
    </dxf>
    <dxf>
      <fill>
        <patternFill>
          <bgColor theme="9" tint="0.79998168889431442"/>
        </patternFill>
      </fill>
    </dxf>
    <dxf>
      <fill>
        <patternFill>
          <bgColor theme="7" tint="0.79998168889431442"/>
        </patternFill>
      </fill>
    </dxf>
    <dxf>
      <fill>
        <patternFill>
          <bgColor theme="5" tint="-0.24994659260841701"/>
        </patternFill>
      </fill>
    </dxf>
    <dxf>
      <fill>
        <patternFill>
          <bgColor theme="7" tint="0.79998168889431442"/>
        </patternFill>
      </fill>
    </dxf>
    <dxf>
      <fill>
        <patternFill>
          <bgColor theme="9" tint="0.79998168889431442"/>
        </patternFill>
      </fill>
    </dxf>
    <dxf>
      <fill>
        <patternFill>
          <bgColor rgb="FFFF0000"/>
        </patternFill>
      </fill>
    </dxf>
    <dxf>
      <fill>
        <patternFill>
          <bgColor theme="5" tint="-0.24994659260841701"/>
        </patternFill>
      </fill>
    </dxf>
    <dxf>
      <fill>
        <patternFill>
          <bgColor theme="9"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5" tint="-0.24994659260841701"/>
        </patternFill>
      </fill>
    </dxf>
    <dxf>
      <fill>
        <patternFill>
          <bgColor theme="9" tint="0.79998168889431442"/>
        </patternFill>
      </fill>
    </dxf>
    <dxf>
      <fill>
        <patternFill>
          <bgColor rgb="FFFF0000"/>
        </patternFill>
      </fill>
    </dxf>
    <dxf>
      <fill>
        <patternFill>
          <bgColor theme="5" tint="-0.24994659260841701"/>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rgb="FFFF0000"/>
        </patternFill>
      </fill>
    </dxf>
    <dxf>
      <fill>
        <patternFill>
          <bgColor theme="5" tint="-0.24994659260841701"/>
        </patternFill>
      </fill>
    </dxf>
    <dxf>
      <fill>
        <patternFill>
          <bgColor theme="9" tint="0.79998168889431442"/>
        </patternFill>
      </fill>
    </dxf>
    <dxf>
      <fill>
        <patternFill>
          <bgColor rgb="FFFF0000"/>
        </patternFill>
      </fill>
    </dxf>
    <dxf>
      <fill>
        <patternFill>
          <bgColor theme="5" tint="-0.24994659260841701"/>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rgb="FFFF0000"/>
        </patternFill>
      </fill>
    </dxf>
    <dxf>
      <fill>
        <patternFill>
          <bgColor theme="5" tint="-0.24994659260841701"/>
        </patternFill>
      </fill>
    </dxf>
    <dxf>
      <fill>
        <patternFill>
          <bgColor theme="9" tint="0.79998168889431442"/>
        </patternFill>
      </fill>
    </dxf>
    <dxf>
      <fill>
        <patternFill>
          <bgColor theme="7" tint="0.79998168889431442"/>
        </patternFill>
      </fill>
    </dxf>
    <dxf>
      <fill>
        <patternFill>
          <bgColor theme="5" tint="-0.24994659260841701"/>
        </patternFill>
      </fill>
    </dxf>
    <dxf>
      <fill>
        <patternFill>
          <bgColor rgb="FFFF0000"/>
        </patternFill>
      </fill>
    </dxf>
    <dxf>
      <fill>
        <patternFill>
          <bgColor theme="7" tint="0.79998168889431442"/>
        </patternFill>
      </fill>
    </dxf>
    <dxf>
      <fill>
        <patternFill>
          <bgColor theme="9" tint="0.79998168889431442"/>
        </patternFill>
      </fill>
    </dxf>
    <dxf>
      <fill>
        <patternFill>
          <bgColor theme="5" tint="-0.24994659260841701"/>
        </patternFill>
      </fill>
    </dxf>
    <dxf>
      <fill>
        <patternFill>
          <bgColor rgb="FFFF0000"/>
        </patternFill>
      </fill>
    </dxf>
    <dxf>
      <fill>
        <patternFill>
          <bgColor theme="5" tint="-0.24994659260841701"/>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5" tint="-0.24994659260841701"/>
        </patternFill>
      </fill>
    </dxf>
    <dxf>
      <fill>
        <patternFill>
          <bgColor rgb="FFEE0000"/>
        </patternFill>
      </fill>
    </dxf>
    <dxf>
      <fill>
        <patternFill>
          <bgColor theme="5" tint="-0.24994659260841701"/>
        </patternFill>
      </fill>
    </dxf>
    <dxf>
      <fill>
        <patternFill>
          <bgColor rgb="FFEE0000"/>
        </patternFill>
      </fill>
    </dxf>
    <dxf>
      <fill>
        <patternFill>
          <bgColor rgb="FFFF0000"/>
        </patternFill>
      </fill>
    </dxf>
    <dxf>
      <fill>
        <patternFill>
          <bgColor theme="5" tint="-0.24994659260841701"/>
        </patternFill>
      </fill>
    </dxf>
    <dxf>
      <fill>
        <patternFill>
          <bgColor theme="7" tint="0.79998168889431442"/>
        </patternFill>
      </fill>
    </dxf>
    <dxf>
      <fill>
        <patternFill>
          <bgColor theme="9" tint="0.79998168889431442"/>
        </patternFill>
      </fill>
    </dxf>
    <dxf>
      <fill>
        <patternFill>
          <bgColor rgb="FFFF0000"/>
        </patternFill>
      </fill>
    </dxf>
    <dxf>
      <fill>
        <patternFill>
          <bgColor theme="5" tint="-0.24994659260841701"/>
        </patternFill>
      </fill>
    </dxf>
    <dxf>
      <fill>
        <patternFill>
          <bgColor theme="5" tint="-0.24994659260841701"/>
        </patternFill>
      </fill>
    </dxf>
    <dxf>
      <fill>
        <patternFill>
          <bgColor theme="9"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theme="5" tint="-0.24994659260841701"/>
        </patternFill>
      </fill>
    </dxf>
    <dxf>
      <fill>
        <patternFill>
          <bgColor theme="9" tint="0.79998168889431442"/>
        </patternFill>
      </fill>
    </dxf>
    <dxf>
      <fill>
        <patternFill>
          <bgColor theme="5" tint="-0.24994659260841701"/>
        </patternFill>
      </fill>
    </dxf>
    <dxf>
      <fill>
        <patternFill>
          <bgColor rgb="FFEE0000"/>
        </patternFill>
      </fill>
    </dxf>
    <dxf>
      <fill>
        <patternFill>
          <bgColor rgb="FFEE0000"/>
        </patternFill>
      </fill>
    </dxf>
    <dxf>
      <fill>
        <patternFill>
          <bgColor theme="7" tint="0.79998168889431442"/>
        </patternFill>
      </fill>
    </dxf>
    <dxf>
      <fill>
        <patternFill>
          <bgColor rgb="FFEE0000"/>
        </patternFill>
      </fill>
    </dxf>
    <dxf>
      <fill>
        <patternFill>
          <bgColor theme="5" tint="-0.24994659260841701"/>
        </patternFill>
      </fill>
    </dxf>
    <dxf>
      <fill>
        <patternFill>
          <bgColor theme="5" tint="0.79998168889431442"/>
        </patternFill>
      </fill>
    </dxf>
  </dxfs>
  <tableStyles count="0" defaultTableStyle="TableStyleMedium2" defaultPivotStyle="PivotStyleLight16"/>
  <colors>
    <mruColors>
      <color rgb="FF2DABBC"/>
      <color rgb="FFC6EFCE"/>
      <color rgb="FFFF0000"/>
      <color rgb="FFED7D31"/>
      <color rgb="FFFFEB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44B87A71-6C7F-4B68-A26B-6D548C3E2AC8}" type="doc">
      <dgm:prSet loTypeId="urn:microsoft.com/office/officeart/2005/8/layout/pList1" loCatId="list" qsTypeId="urn:microsoft.com/office/officeart/2005/8/quickstyle/simple1" qsCatId="simple" csTypeId="urn:microsoft.com/office/officeart/2005/8/colors/accent1_2" csCatId="accent1" phldr="1"/>
      <dgm:spPr/>
      <dgm:t>
        <a:bodyPr/>
        <a:lstStyle/>
        <a:p>
          <a:pPr rtl="1"/>
          <a:endParaRPr lang="ar-SA"/>
        </a:p>
      </dgm:t>
    </dgm:pt>
    <dgm:pt modelId="{C52EAB2A-2C8F-4CF1-9E6C-A10257227874}">
      <dgm:prSet phldrT="[Text]"/>
      <dgm:spPr/>
      <dgm:t>
        <a:bodyPr/>
        <a:lstStyle/>
        <a:p>
          <a:pPr rtl="1"/>
          <a:endParaRPr lang="ar-SA"/>
        </a:p>
      </dgm:t>
    </dgm:pt>
    <dgm:pt modelId="{4E26BFDA-3957-4430-A677-2B96244C195B}" type="parTrans" cxnId="{413AC43D-3C89-4F34-A5D6-3E27004AE9D6}">
      <dgm:prSet/>
      <dgm:spPr/>
      <dgm:t>
        <a:bodyPr/>
        <a:lstStyle/>
        <a:p>
          <a:pPr rtl="1"/>
          <a:endParaRPr lang="ar-SA"/>
        </a:p>
      </dgm:t>
    </dgm:pt>
    <dgm:pt modelId="{B669802A-4B24-4ADD-A353-687D71C005FC}" type="sibTrans" cxnId="{413AC43D-3C89-4F34-A5D6-3E27004AE9D6}">
      <dgm:prSet/>
      <dgm:spPr/>
      <dgm:t>
        <a:bodyPr/>
        <a:lstStyle/>
        <a:p>
          <a:pPr rtl="1"/>
          <a:endParaRPr lang="ar-SA"/>
        </a:p>
      </dgm:t>
    </dgm:pt>
    <dgm:pt modelId="{7461B050-5570-4EDB-8818-03C8F0859068}" type="pres">
      <dgm:prSet presAssocID="{44B87A71-6C7F-4B68-A26B-6D548C3E2AC8}" presName="Name0" presStyleCnt="0">
        <dgm:presLayoutVars>
          <dgm:dir/>
          <dgm:resizeHandles val="exact"/>
        </dgm:presLayoutVars>
      </dgm:prSet>
      <dgm:spPr/>
    </dgm:pt>
    <dgm:pt modelId="{02841B3A-B9B3-496E-8C21-9702B9BA7C8F}" type="pres">
      <dgm:prSet presAssocID="{C52EAB2A-2C8F-4CF1-9E6C-A10257227874}" presName="compNode" presStyleCnt="0"/>
      <dgm:spPr/>
    </dgm:pt>
    <dgm:pt modelId="{8ECD452F-1CBC-46A2-A8AF-CA5FDB0ECB4F}" type="pres">
      <dgm:prSet presAssocID="{C52EAB2A-2C8F-4CF1-9E6C-A10257227874}" presName="pictRect" presStyleLbl="node1" presStyleIdx="0" presStyleCnt="1" custScaleX="227086" custScaleY="307514" custLinFactNeighborX="4620" custLinFactNeighborY="-2445"/>
      <dgm:spPr>
        <a:prstGeom prst="rect">
          <a:avLst/>
        </a:prstGeom>
      </dgm:spPr>
    </dgm:pt>
    <dgm:pt modelId="{94990404-99F6-46CD-9421-A9BDBB25D66F}" type="pres">
      <dgm:prSet presAssocID="{C52EAB2A-2C8F-4CF1-9E6C-A10257227874}" presName="textRect" presStyleLbl="revTx" presStyleIdx="0" presStyleCnt="1">
        <dgm:presLayoutVars>
          <dgm:bulletEnabled val="1"/>
        </dgm:presLayoutVars>
      </dgm:prSet>
      <dgm:spPr/>
    </dgm:pt>
  </dgm:ptLst>
  <dgm:cxnLst>
    <dgm:cxn modelId="{6EEA0228-D7EE-4790-A8D3-88BF479E46F4}" type="presOf" srcId="{44B87A71-6C7F-4B68-A26B-6D548C3E2AC8}" destId="{7461B050-5570-4EDB-8818-03C8F0859068}" srcOrd="0" destOrd="0" presId="urn:microsoft.com/office/officeart/2005/8/layout/pList1"/>
    <dgm:cxn modelId="{0CD30D35-D185-4961-A506-86E881B8B2BB}" type="presOf" srcId="{C52EAB2A-2C8F-4CF1-9E6C-A10257227874}" destId="{94990404-99F6-46CD-9421-A9BDBB25D66F}" srcOrd="0" destOrd="0" presId="urn:microsoft.com/office/officeart/2005/8/layout/pList1"/>
    <dgm:cxn modelId="{413AC43D-3C89-4F34-A5D6-3E27004AE9D6}" srcId="{44B87A71-6C7F-4B68-A26B-6D548C3E2AC8}" destId="{C52EAB2A-2C8F-4CF1-9E6C-A10257227874}" srcOrd="0" destOrd="0" parTransId="{4E26BFDA-3957-4430-A677-2B96244C195B}" sibTransId="{B669802A-4B24-4ADD-A353-687D71C005FC}"/>
    <dgm:cxn modelId="{7430801B-0903-4EC4-AAA2-FF06ACEAA35F}" type="presParOf" srcId="{7461B050-5570-4EDB-8818-03C8F0859068}" destId="{02841B3A-B9B3-496E-8C21-9702B9BA7C8F}" srcOrd="0" destOrd="0" presId="urn:microsoft.com/office/officeart/2005/8/layout/pList1"/>
    <dgm:cxn modelId="{C5162AC5-1F7A-40BF-A91D-8968C722BFD6}" type="presParOf" srcId="{02841B3A-B9B3-496E-8C21-9702B9BA7C8F}" destId="{8ECD452F-1CBC-46A2-A8AF-CA5FDB0ECB4F}" srcOrd="0" destOrd="0" presId="urn:microsoft.com/office/officeart/2005/8/layout/pList1"/>
    <dgm:cxn modelId="{1C52FF09-A1EC-42E3-AF48-0D0FFD99C4FF}" type="presParOf" srcId="{02841B3A-B9B3-496E-8C21-9702B9BA7C8F}" destId="{94990404-99F6-46CD-9421-A9BDBB25D66F}" srcOrd="1" destOrd="0" presId="urn:microsoft.com/office/officeart/2005/8/layout/pLis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8ECD452F-1CBC-46A2-A8AF-CA5FDB0ECB4F}">
      <dsp:nvSpPr>
        <dsp:cNvPr id="0" name=""/>
        <dsp:cNvSpPr/>
      </dsp:nvSpPr>
      <dsp:spPr>
        <a:xfrm>
          <a:off x="582169" y="0"/>
          <a:ext cx="1755047" cy="1637504"/>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94990404-99F6-46CD-9421-A9BDBB25D66F}">
      <dsp:nvSpPr>
        <dsp:cNvPr id="0" name=""/>
        <dsp:cNvSpPr/>
      </dsp:nvSpPr>
      <dsp:spPr>
        <a:xfrm>
          <a:off x="1037559" y="1085080"/>
          <a:ext cx="772855" cy="28672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99568" tIns="99568" rIns="99568" bIns="0" numCol="1" spcCol="1270" anchor="t" anchorCtr="0">
          <a:noAutofit/>
        </a:bodyPr>
        <a:lstStyle/>
        <a:p>
          <a:pPr marL="0" lvl="0" indent="0" algn="ctr" defTabSz="622300" rtl="1">
            <a:lnSpc>
              <a:spcPct val="90000"/>
            </a:lnSpc>
            <a:spcBef>
              <a:spcPct val="0"/>
            </a:spcBef>
            <a:spcAft>
              <a:spcPct val="35000"/>
            </a:spcAft>
            <a:buNone/>
          </a:pPr>
          <a:endParaRPr lang="ar-SA" sz="1400" kern="1200"/>
        </a:p>
      </dsp:txBody>
      <dsp:txXfrm>
        <a:off x="1037559" y="1085080"/>
        <a:ext cx="772855" cy="286729"/>
      </dsp:txXfrm>
    </dsp:sp>
  </dsp:spTree>
</dsp:drawing>
</file>

<file path=xl/diagrams/layout1.xml><?xml version="1.0" encoding="utf-8"?>
<dgm:layoutDef xmlns:dgm="http://schemas.openxmlformats.org/drawingml/2006/diagram" xmlns:a="http://schemas.openxmlformats.org/drawingml/2006/main" uniqueId="urn:microsoft.com/office/officeart/2005/8/layout/pList1">
  <dgm:title val=""/>
  <dgm:desc val=""/>
  <dgm:catLst>
    <dgm:cat type="list" pri="2000"/>
    <dgm:cat type="picture" pri="2500"/>
    <dgm:cat type="pictureconvert" pri="2500"/>
  </dgm:catLst>
  <dgm:sampData>
    <dgm:dataModel>
      <dgm:ptLst>
        <dgm:pt modelId="0" type="doc"/>
        <dgm:pt modelId="1">
          <dgm:prSet phldr="1"/>
        </dgm:pt>
        <dgm:pt modelId="2">
          <dgm:prSet phldr="1"/>
        </dgm:pt>
        <dgm:pt modelId="3">
          <dgm:prSet phldr="1"/>
        </dgm:pt>
        <dgm:pt modelId="4">
          <dgm:prSet phldr="1"/>
        </dgm:pt>
      </dgm:ptLst>
      <dgm:cxnLst>
        <dgm:cxn modelId="7" srcId="0" destId="1" srcOrd="0" destOrd="0"/>
        <dgm:cxn modelId="8" srcId="0" destId="2" srcOrd="1" destOrd="0"/>
        <dgm:cxn modelId="9" srcId="0" destId="3" srcOrd="2" destOrd="0"/>
        <dgm:cxn modelId="10" srcId="0" destId="4" srcOrd="3"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useDef="1">
    <dgm:dataModel>
      <dgm:ptLst/>
      <dgm:bg/>
      <dgm:whole/>
    </dgm:dataModel>
  </dgm:clrData>
  <dgm:layoutNode name="Name0">
    <dgm:varLst>
      <dgm:dir/>
      <dgm:resizeHandles val="exact"/>
    </dgm:varLst>
    <dgm:choose name="Name1">
      <dgm:if name="Name2" axis="self" func="var" arg="dir" op="equ" val="norm">
        <dgm:alg type="snake">
          <dgm:param type="grDir" val="tL"/>
          <dgm:param type="flowDir" val="row"/>
          <dgm:param type="contDir" val="sameDir"/>
          <dgm:param type="off" val="ctr"/>
          <dgm:param type="vertAlign" val="mid"/>
          <dgm:param type="horzAlign" val="ctr"/>
        </dgm:alg>
      </dgm:if>
      <dgm:else name="Name3">
        <dgm:alg type="snake">
          <dgm:param type="grDir" val="tR"/>
          <dgm:param type="flowDir" val="row"/>
          <dgm:param type="contDir" val="sameDir"/>
          <dgm:param type="off" val="ctr"/>
          <dgm:param type="vertAlign" val="mid"/>
          <dgm:param type="horzAlign" val="ctr"/>
        </dgm:alg>
      </dgm:else>
    </dgm:choose>
    <dgm:shape xmlns:r="http://schemas.openxmlformats.org/officeDocument/2006/relationships" r:blip="">
      <dgm:adjLst/>
    </dgm:shape>
    <dgm:presOf/>
    <dgm:constrLst>
      <dgm:constr type="w" for="ch" forName="compNode" refType="w"/>
      <dgm:constr type="w" for="ch" ptType="sibTrans" refType="w" refFor="ch" refForName="compNode" op="equ" fact="0.1"/>
      <dgm:constr type="sp" refType="w" refFor="ch" refForName="compNode" op="equ" fact="0.1"/>
      <dgm:constr type="primFontSz" for="des" ptType="node" op="equ" val="65"/>
    </dgm:constrLst>
    <dgm:ruleLst/>
    <dgm:forEach name="Name4" axis="ch" ptType="node">
      <dgm:layoutNode name="compNode">
        <dgm:alg type="composite">
          <dgm:param type="ar" val="0.943"/>
        </dgm:alg>
        <dgm:shape xmlns:r="http://schemas.openxmlformats.org/officeDocument/2006/relationships" r:blip="">
          <dgm:adjLst/>
        </dgm:shape>
        <dgm:presOf axis="self"/>
        <dgm:constrLst>
          <dgm:constr type="h" refType="w" fact="1.06"/>
          <dgm:constr type="h" for="ch" forName="pictRect" refType="h" fact="0.65"/>
          <dgm:constr type="w" for="ch" forName="pictRect" refType="w"/>
          <dgm:constr type="l" for="ch" forName="pictRect"/>
          <dgm:constr type="t" for="ch" forName="pictRect"/>
          <dgm:constr type="w" for="ch" forName="textRect" refType="w"/>
          <dgm:constr type="h" for="ch" forName="textRect" refType="h" fact="0.35"/>
          <dgm:constr type="l" for="ch" forName="textRect"/>
          <dgm:constr type="t" for="ch" forName="textRect" refType="b" refFor="ch" refForName="pictRect"/>
        </dgm:constrLst>
        <dgm:ruleLst/>
        <dgm:layoutNode name="pictRect">
          <dgm:alg type="sp"/>
          <dgm:shape xmlns:r="http://schemas.openxmlformats.org/officeDocument/2006/relationships" type="roundRect" r:blip="" blipPhldr="1">
            <dgm:adjLst/>
          </dgm:shape>
          <dgm:presOf/>
          <dgm:constrLst/>
          <dgm:ruleLst/>
        </dgm:layoutNode>
        <dgm:layoutNode name="textRect" styleLbl="revTx">
          <dgm:varLst>
            <dgm:bulletEnabled val="1"/>
          </dgm:varLst>
          <dgm:alg type="tx">
            <dgm:param type="txAnchorVert" val="t"/>
          </dgm:alg>
          <dgm:shape xmlns:r="http://schemas.openxmlformats.org/officeDocument/2006/relationships" type="rect" r:blip="">
            <dgm:adjLst/>
          </dgm:shape>
          <dgm:presOf axis="desOrSelf" ptType="node"/>
          <dgm:constrLst>
            <dgm:constr type="bMarg"/>
          </dgm:constrLst>
          <dgm:ruleLst>
            <dgm:rule type="primFontSz" val="5" fact="NaN" max="NaN"/>
          </dgm:ruleLst>
        </dgm:layoutNode>
      </dgm:layoutNode>
      <dgm:forEach name="Name5" axis="followSib" ptType="sibTrans" cnt="1">
        <dgm:layoutNode name="sibTrans">
          <dgm:alg type="sp"/>
          <dgm:shape xmlns:r="http://schemas.openxmlformats.org/officeDocument/2006/relationships" type="rect" r:blip="" hideGeom="1">
            <dgm:adjLst/>
          </dgm:shape>
          <dgm:presOf axis="sel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7" Type="http://schemas.openxmlformats.org/officeDocument/2006/relationships/image" Target="../media/image2.jpeg"/><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image" Target="../media/image1.jpeg"/><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0" Type="http://schemas.openxmlformats.org/officeDocument/2006/relationships/image" Target="../media/image13.sv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4</xdr:col>
      <xdr:colOff>85727</xdr:colOff>
      <xdr:row>1</xdr:row>
      <xdr:rowOff>44451</xdr:rowOff>
    </xdr:from>
    <xdr:to>
      <xdr:col>4</xdr:col>
      <xdr:colOff>2933701</xdr:colOff>
      <xdr:row>7</xdr:row>
      <xdr:rowOff>142875</xdr:rowOff>
    </xdr:to>
    <xdr:graphicFrame macro="">
      <xdr:nvGraphicFramePr>
        <xdr:cNvPr id="2" name="Diagram 1">
          <a:extLst>
            <a:ext uri="{FF2B5EF4-FFF2-40B4-BE49-F238E27FC236}">
              <a16:creationId xmlns:a16="http://schemas.microsoft.com/office/drawing/2014/main" id="{3E20824E-8D9C-4218-8710-5A12C7709A9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editAs="oneCell">
    <xdr:from>
      <xdr:col>0</xdr:col>
      <xdr:colOff>266700</xdr:colOff>
      <xdr:row>1</xdr:row>
      <xdr:rowOff>28575</xdr:rowOff>
    </xdr:from>
    <xdr:to>
      <xdr:col>1</xdr:col>
      <xdr:colOff>1219200</xdr:colOff>
      <xdr:row>7</xdr:row>
      <xdr:rowOff>228600</xdr:rowOff>
    </xdr:to>
    <xdr:pic>
      <xdr:nvPicPr>
        <xdr:cNvPr id="10" name="Picture 9">
          <a:extLst>
            <a:ext uri="{FF2B5EF4-FFF2-40B4-BE49-F238E27FC236}">
              <a16:creationId xmlns:a16="http://schemas.microsoft.com/office/drawing/2014/main" id="{9DFB6177-B355-9FC8-C2A0-BF8B7181B33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66700" y="647700"/>
          <a:ext cx="2476500" cy="1781175"/>
        </a:xfrm>
        <a:prstGeom prst="rect">
          <a:avLst/>
        </a:prstGeom>
      </xdr:spPr>
    </xdr:pic>
    <xdr:clientData/>
  </xdr:twoCellAnchor>
  <xdr:twoCellAnchor editAs="oneCell">
    <xdr:from>
      <xdr:col>2</xdr:col>
      <xdr:colOff>333375</xdr:colOff>
      <xdr:row>1</xdr:row>
      <xdr:rowOff>38100</xdr:rowOff>
    </xdr:from>
    <xdr:to>
      <xdr:col>3</xdr:col>
      <xdr:colOff>1143000</xdr:colOff>
      <xdr:row>7</xdr:row>
      <xdr:rowOff>180975</xdr:rowOff>
    </xdr:to>
    <xdr:pic>
      <xdr:nvPicPr>
        <xdr:cNvPr id="11" name="Picture 10" descr="A door with peeling paint&#10;&#10;Description automatically generated">
          <a:extLst>
            <a:ext uri="{FF2B5EF4-FFF2-40B4-BE49-F238E27FC236}">
              <a16:creationId xmlns:a16="http://schemas.microsoft.com/office/drawing/2014/main" id="{AACA23FD-1167-5461-04C4-DCE074F630F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381375" y="657225"/>
          <a:ext cx="2333625" cy="1724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24713</xdr:colOff>
      <xdr:row>0</xdr:row>
      <xdr:rowOff>80965</xdr:rowOff>
    </xdr:from>
    <xdr:ext cx="1434341" cy="807720"/>
    <xdr:pic>
      <xdr:nvPicPr>
        <xdr:cNvPr id="2" name="Picture 1">
          <a:extLst>
            <a:ext uri="{FF2B5EF4-FFF2-40B4-BE49-F238E27FC236}">
              <a16:creationId xmlns:a16="http://schemas.microsoft.com/office/drawing/2014/main" id="{0F435C4C-2D21-4B02-8B6C-5620EABE2AD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85620446" y="84140"/>
          <a:ext cx="1434341" cy="807720"/>
        </a:xfrm>
        <a:prstGeom prst="rect">
          <a:avLst/>
        </a:prstGeom>
        <a:noFill/>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24713</xdr:colOff>
      <xdr:row>0</xdr:row>
      <xdr:rowOff>80965</xdr:rowOff>
    </xdr:from>
    <xdr:ext cx="1434341" cy="807720"/>
    <xdr:pic>
      <xdr:nvPicPr>
        <xdr:cNvPr id="2" name="Picture 1">
          <a:extLst>
            <a:ext uri="{FF2B5EF4-FFF2-40B4-BE49-F238E27FC236}">
              <a16:creationId xmlns:a16="http://schemas.microsoft.com/office/drawing/2014/main" id="{D2C40F92-6B8E-4DD9-8ABC-6DAC00116D5E}"/>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33092471" y="84140"/>
          <a:ext cx="1434341" cy="807720"/>
        </a:xfrm>
        <a:prstGeom prst="rect">
          <a:avLst/>
        </a:prstGeom>
        <a:noFill/>
      </xdr:spPr>
    </xdr:pic>
    <xdr:clientData/>
  </xdr:oneCellAnchor>
  <xdr:oneCellAnchor>
    <xdr:from>
      <xdr:col>6</xdr:col>
      <xdr:colOff>190499</xdr:colOff>
      <xdr:row>40</xdr:row>
      <xdr:rowOff>67236</xdr:rowOff>
    </xdr:from>
    <xdr:ext cx="484314" cy="28546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2DFB52D-5C7A-4504-B8D3-3BB7EBB667F0}"/>
                </a:ext>
              </a:extLst>
            </xdr:cNvPr>
            <xdr:cNvSpPr txBox="1"/>
          </xdr:nvSpPr>
          <xdr:spPr>
            <a:xfrm>
              <a:off x="13765942157" y="18411265"/>
              <a:ext cx="484314"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p>
                      <m:sSupPr>
                        <m:ctrlPr>
                          <a:rPr lang="ar-SA" sz="1400" b="0" i="1">
                            <a:latin typeface="Cambria Math" panose="02040503050406030204" pitchFamily="18" charset="0"/>
                          </a:rPr>
                        </m:ctrlPr>
                      </m:sSupPr>
                      <m:e>
                        <m:r>
                          <a:rPr lang="ar-SA" sz="1400" b="0" i="1">
                            <a:latin typeface="Cambria Math" panose="02040503050406030204" pitchFamily="18" charset="0"/>
                          </a:rPr>
                          <m:t>م</m:t>
                        </m:r>
                      </m:e>
                      <m:sup>
                        <m:r>
                          <a:rPr lang="en-US" sz="1400" i="1">
                            <a:latin typeface="Cambria Math" panose="02040503050406030204" pitchFamily="18" charset="0"/>
                          </a:rPr>
                          <m:t>2</m:t>
                        </m:r>
                      </m:sup>
                    </m:sSup>
                  </m:oMath>
                </m:oMathPara>
              </a14:m>
              <a:endParaRPr lang="en-US" sz="1200"/>
            </a:p>
          </xdr:txBody>
        </xdr:sp>
      </mc:Choice>
      <mc:Fallback xmlns="">
        <xdr:sp macro="" textlink="">
          <xdr:nvSpPr>
            <xdr:cNvPr id="3" name="TextBox 2">
              <a:extLst>
                <a:ext uri="{FF2B5EF4-FFF2-40B4-BE49-F238E27FC236}">
                  <a16:creationId xmlns:a16="http://schemas.microsoft.com/office/drawing/2014/main" id="{D2DFB52D-5C7A-4504-B8D3-3BB7EBB667F0}"/>
                </a:ext>
              </a:extLst>
            </xdr:cNvPr>
            <xdr:cNvSpPr txBox="1"/>
          </xdr:nvSpPr>
          <xdr:spPr>
            <a:xfrm>
              <a:off x="13765942157" y="18411265"/>
              <a:ext cx="484314"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ar-SA" sz="1400" b="0" i="0">
                  <a:latin typeface="Cambria Math" panose="02040503050406030204" pitchFamily="18" charset="0"/>
                </a:rPr>
                <a:t>م</a:t>
              </a:r>
              <a:r>
                <a:rPr lang="en-US" sz="1400" b="0" i="0">
                  <a:latin typeface="Cambria Math" panose="02040503050406030204" pitchFamily="18" charset="0"/>
                </a:rPr>
                <a:t>^</a:t>
              </a:r>
              <a:r>
                <a:rPr lang="en-US" sz="1400" i="0">
                  <a:latin typeface="Cambria Math" panose="02040503050406030204" pitchFamily="18" charset="0"/>
                </a:rPr>
                <a:t>2</a:t>
              </a:r>
              <a:endParaRPr lang="en-US" sz="12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0</xdr:col>
      <xdr:colOff>24713</xdr:colOff>
      <xdr:row>0</xdr:row>
      <xdr:rowOff>80965</xdr:rowOff>
    </xdr:from>
    <xdr:ext cx="1434341" cy="807720"/>
    <xdr:pic>
      <xdr:nvPicPr>
        <xdr:cNvPr id="2" name="Picture 1">
          <a:extLst>
            <a:ext uri="{FF2B5EF4-FFF2-40B4-BE49-F238E27FC236}">
              <a16:creationId xmlns:a16="http://schemas.microsoft.com/office/drawing/2014/main" id="{AE0AFF44-1DC6-4B87-A1F3-E9A310E6ED4A}"/>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33092471" y="84140"/>
          <a:ext cx="1434341" cy="807720"/>
        </a:xfrm>
        <a:prstGeom prst="rect">
          <a:avLst/>
        </a:prstGeom>
        <a:noFill/>
      </xdr:spPr>
    </xdr:pic>
    <xdr:clientData/>
  </xdr:oneCellAnchor>
  <xdr:oneCellAnchor>
    <xdr:from>
      <xdr:col>6</xdr:col>
      <xdr:colOff>219261</xdr:colOff>
      <xdr:row>13</xdr:row>
      <xdr:rowOff>437030</xdr:rowOff>
    </xdr:from>
    <xdr:ext cx="476282" cy="28546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4BCC57A-0FEF-45F6-894B-68474AE0AB3E}"/>
                </a:ext>
              </a:extLst>
            </xdr:cNvPr>
            <xdr:cNvSpPr txBox="1"/>
          </xdr:nvSpPr>
          <xdr:spPr>
            <a:xfrm>
              <a:off x="13765405957" y="6264089"/>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p>
                      <m:sSupPr>
                        <m:ctrlPr>
                          <a:rPr lang="ar-SA" sz="1400" b="0" i="1">
                            <a:latin typeface="Cambria Math" panose="02040503050406030204" pitchFamily="18" charset="0"/>
                          </a:rPr>
                        </m:ctrlPr>
                      </m:sSupPr>
                      <m:e>
                        <m:r>
                          <a:rPr lang="ar-SA" sz="1400" b="0" i="1">
                            <a:latin typeface="Cambria Math" panose="02040503050406030204" pitchFamily="18" charset="0"/>
                          </a:rPr>
                          <m:t>م</m:t>
                        </m:r>
                      </m:e>
                      <m:sup>
                        <m:r>
                          <a:rPr lang="en-US" sz="1400" i="1">
                            <a:latin typeface="Cambria Math" panose="02040503050406030204" pitchFamily="18" charset="0"/>
                          </a:rPr>
                          <m:t>2</m:t>
                        </m:r>
                      </m:sup>
                    </m:sSup>
                  </m:oMath>
                </m:oMathPara>
              </a14:m>
              <a:endParaRPr lang="en-US" sz="1400"/>
            </a:p>
          </xdr:txBody>
        </xdr:sp>
      </mc:Choice>
      <mc:Fallback xmlns="">
        <xdr:sp macro="" textlink="">
          <xdr:nvSpPr>
            <xdr:cNvPr id="3" name="TextBox 2">
              <a:extLst>
                <a:ext uri="{FF2B5EF4-FFF2-40B4-BE49-F238E27FC236}">
                  <a16:creationId xmlns:a16="http://schemas.microsoft.com/office/drawing/2014/main" id="{C4BCC57A-0FEF-45F6-894B-68474AE0AB3E}"/>
                </a:ext>
              </a:extLst>
            </xdr:cNvPr>
            <xdr:cNvSpPr txBox="1"/>
          </xdr:nvSpPr>
          <xdr:spPr>
            <a:xfrm>
              <a:off x="13765405957" y="6264089"/>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ar-SA" sz="1400" b="0" i="0">
                  <a:latin typeface="Cambria Math" panose="02040503050406030204" pitchFamily="18" charset="0"/>
                </a:rPr>
                <a:t>م</a:t>
              </a:r>
              <a:r>
                <a:rPr lang="en-US" sz="1400" b="0" i="0">
                  <a:latin typeface="Cambria Math" panose="02040503050406030204" pitchFamily="18" charset="0"/>
                </a:rPr>
                <a:t>^</a:t>
              </a:r>
              <a:r>
                <a:rPr lang="en-US" sz="1400" i="0">
                  <a:latin typeface="Cambria Math" panose="02040503050406030204" pitchFamily="18" charset="0"/>
                </a:rPr>
                <a:t>2</a:t>
              </a:r>
              <a:endParaRPr lang="en-US" sz="1400"/>
            </a:p>
          </xdr:txBody>
        </xdr:sp>
      </mc:Fallback>
    </mc:AlternateContent>
    <xdr:clientData/>
  </xdr:oneCellAnchor>
  <xdr:oneCellAnchor>
    <xdr:from>
      <xdr:col>6</xdr:col>
      <xdr:colOff>199309</xdr:colOff>
      <xdr:row>14</xdr:row>
      <xdr:rowOff>246530</xdr:rowOff>
    </xdr:from>
    <xdr:ext cx="476282" cy="28546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A2415B9-B089-4B2C-B52B-DF034661C52D}"/>
                </a:ext>
              </a:extLst>
            </xdr:cNvPr>
            <xdr:cNvSpPr txBox="1"/>
          </xdr:nvSpPr>
          <xdr:spPr>
            <a:xfrm>
              <a:off x="13765425909" y="7306236"/>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p>
                      <m:sSupPr>
                        <m:ctrlPr>
                          <a:rPr lang="ar-SA" sz="1400" b="0" i="1">
                            <a:latin typeface="Cambria Math" panose="02040503050406030204" pitchFamily="18" charset="0"/>
                          </a:rPr>
                        </m:ctrlPr>
                      </m:sSupPr>
                      <m:e>
                        <m:r>
                          <a:rPr lang="ar-SA" sz="1400" b="0" i="1">
                            <a:latin typeface="Cambria Math" panose="02040503050406030204" pitchFamily="18" charset="0"/>
                          </a:rPr>
                          <m:t>م</m:t>
                        </m:r>
                      </m:e>
                      <m:sup>
                        <m:r>
                          <a:rPr lang="en-US" sz="1400" i="1">
                            <a:latin typeface="Cambria Math" panose="02040503050406030204" pitchFamily="18" charset="0"/>
                          </a:rPr>
                          <m:t>2</m:t>
                        </m:r>
                      </m:sup>
                    </m:sSup>
                  </m:oMath>
                </m:oMathPara>
              </a14:m>
              <a:endParaRPr lang="en-US" sz="1400"/>
            </a:p>
          </xdr:txBody>
        </xdr:sp>
      </mc:Choice>
      <mc:Fallback xmlns="">
        <xdr:sp macro="" textlink="">
          <xdr:nvSpPr>
            <xdr:cNvPr id="4" name="TextBox 3">
              <a:extLst>
                <a:ext uri="{FF2B5EF4-FFF2-40B4-BE49-F238E27FC236}">
                  <a16:creationId xmlns:a16="http://schemas.microsoft.com/office/drawing/2014/main" id="{DA2415B9-B089-4B2C-B52B-DF034661C52D}"/>
                </a:ext>
              </a:extLst>
            </xdr:cNvPr>
            <xdr:cNvSpPr txBox="1"/>
          </xdr:nvSpPr>
          <xdr:spPr>
            <a:xfrm>
              <a:off x="13765425909" y="7306236"/>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ar-SA" sz="1400" b="0" i="0">
                  <a:latin typeface="Cambria Math" panose="02040503050406030204" pitchFamily="18" charset="0"/>
                </a:rPr>
                <a:t>م</a:t>
              </a:r>
              <a:r>
                <a:rPr lang="en-US" sz="1400" b="0" i="0">
                  <a:latin typeface="Cambria Math" panose="02040503050406030204" pitchFamily="18" charset="0"/>
                </a:rPr>
                <a:t>^</a:t>
              </a:r>
              <a:r>
                <a:rPr lang="en-US" sz="1400" i="0">
                  <a:latin typeface="Cambria Math" panose="02040503050406030204" pitchFamily="18" charset="0"/>
                </a:rPr>
                <a:t>2</a:t>
              </a:r>
              <a:endParaRPr lang="en-US" sz="1400"/>
            </a:p>
          </xdr:txBody>
        </xdr:sp>
      </mc:Fallback>
    </mc:AlternateContent>
    <xdr:clientData/>
  </xdr:oneCellAnchor>
  <xdr:oneCellAnchor>
    <xdr:from>
      <xdr:col>6</xdr:col>
      <xdr:colOff>190500</xdr:colOff>
      <xdr:row>15</xdr:row>
      <xdr:rowOff>280147</xdr:rowOff>
    </xdr:from>
    <xdr:ext cx="476282" cy="28546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95A8E65B-EE77-4AC2-90D9-AF948F164D65}"/>
                </a:ext>
              </a:extLst>
            </xdr:cNvPr>
            <xdr:cNvSpPr txBox="1"/>
          </xdr:nvSpPr>
          <xdr:spPr>
            <a:xfrm>
              <a:off x="13765434718" y="8258735"/>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p>
                      <m:sSupPr>
                        <m:ctrlPr>
                          <a:rPr lang="ar-SA" sz="1400" b="0" i="1">
                            <a:latin typeface="Cambria Math" panose="02040503050406030204" pitchFamily="18" charset="0"/>
                          </a:rPr>
                        </m:ctrlPr>
                      </m:sSupPr>
                      <m:e>
                        <m:r>
                          <a:rPr lang="ar-SA" sz="1400" b="0" i="1">
                            <a:latin typeface="Cambria Math" panose="02040503050406030204" pitchFamily="18" charset="0"/>
                          </a:rPr>
                          <m:t>م</m:t>
                        </m:r>
                      </m:e>
                      <m:sup>
                        <m:r>
                          <a:rPr lang="en-US" sz="1400" i="1">
                            <a:latin typeface="Cambria Math" panose="02040503050406030204" pitchFamily="18" charset="0"/>
                          </a:rPr>
                          <m:t>2</m:t>
                        </m:r>
                      </m:sup>
                    </m:sSup>
                  </m:oMath>
                </m:oMathPara>
              </a14:m>
              <a:endParaRPr lang="en-US" sz="1400"/>
            </a:p>
          </xdr:txBody>
        </xdr:sp>
      </mc:Choice>
      <mc:Fallback xmlns="">
        <xdr:sp macro="" textlink="">
          <xdr:nvSpPr>
            <xdr:cNvPr id="5" name="TextBox 4">
              <a:extLst>
                <a:ext uri="{FF2B5EF4-FFF2-40B4-BE49-F238E27FC236}">
                  <a16:creationId xmlns:a16="http://schemas.microsoft.com/office/drawing/2014/main" id="{95A8E65B-EE77-4AC2-90D9-AF948F164D65}"/>
                </a:ext>
              </a:extLst>
            </xdr:cNvPr>
            <xdr:cNvSpPr txBox="1"/>
          </xdr:nvSpPr>
          <xdr:spPr>
            <a:xfrm>
              <a:off x="13765434718" y="8258735"/>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ar-SA" sz="1400" b="0" i="0">
                  <a:latin typeface="Cambria Math" panose="02040503050406030204" pitchFamily="18" charset="0"/>
                </a:rPr>
                <a:t>م</a:t>
              </a:r>
              <a:r>
                <a:rPr lang="en-US" sz="1400" b="0" i="0">
                  <a:latin typeface="Cambria Math" panose="02040503050406030204" pitchFamily="18" charset="0"/>
                </a:rPr>
                <a:t>^</a:t>
              </a:r>
              <a:r>
                <a:rPr lang="en-US" sz="1400" i="0">
                  <a:latin typeface="Cambria Math" panose="02040503050406030204" pitchFamily="18" charset="0"/>
                </a:rPr>
                <a:t>2</a:t>
              </a:r>
              <a:endParaRPr lang="en-US" sz="1400"/>
            </a:p>
          </xdr:txBody>
        </xdr:sp>
      </mc:Fallback>
    </mc:AlternateContent>
    <xdr:clientData/>
  </xdr:oneCellAnchor>
  <xdr:oneCellAnchor>
    <xdr:from>
      <xdr:col>6</xdr:col>
      <xdr:colOff>190500</xdr:colOff>
      <xdr:row>16</xdr:row>
      <xdr:rowOff>134470</xdr:rowOff>
    </xdr:from>
    <xdr:ext cx="476282" cy="285463"/>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8009B204-BC87-4561-9935-F243A7796EA6}"/>
                </a:ext>
              </a:extLst>
            </xdr:cNvPr>
            <xdr:cNvSpPr txBox="1"/>
          </xdr:nvSpPr>
          <xdr:spPr>
            <a:xfrm>
              <a:off x="13765434718" y="9121588"/>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p>
                      <m:sSupPr>
                        <m:ctrlPr>
                          <a:rPr lang="ar-SA" sz="1400" b="0" i="1">
                            <a:latin typeface="Cambria Math" panose="02040503050406030204" pitchFamily="18" charset="0"/>
                          </a:rPr>
                        </m:ctrlPr>
                      </m:sSupPr>
                      <m:e>
                        <m:r>
                          <a:rPr lang="ar-SA" sz="1400" b="0" i="1">
                            <a:latin typeface="Cambria Math" panose="02040503050406030204" pitchFamily="18" charset="0"/>
                          </a:rPr>
                          <m:t>م</m:t>
                        </m:r>
                      </m:e>
                      <m:sup>
                        <m:r>
                          <a:rPr lang="en-US" sz="1400" i="1">
                            <a:latin typeface="Cambria Math" panose="02040503050406030204" pitchFamily="18" charset="0"/>
                          </a:rPr>
                          <m:t>2</m:t>
                        </m:r>
                      </m:sup>
                    </m:sSup>
                  </m:oMath>
                </m:oMathPara>
              </a14:m>
              <a:endParaRPr lang="en-US" sz="1400"/>
            </a:p>
          </xdr:txBody>
        </xdr:sp>
      </mc:Choice>
      <mc:Fallback xmlns="">
        <xdr:sp macro="" textlink="">
          <xdr:nvSpPr>
            <xdr:cNvPr id="6" name="TextBox 5">
              <a:extLst>
                <a:ext uri="{FF2B5EF4-FFF2-40B4-BE49-F238E27FC236}">
                  <a16:creationId xmlns:a16="http://schemas.microsoft.com/office/drawing/2014/main" id="{8009B204-BC87-4561-9935-F243A7796EA6}"/>
                </a:ext>
              </a:extLst>
            </xdr:cNvPr>
            <xdr:cNvSpPr txBox="1"/>
          </xdr:nvSpPr>
          <xdr:spPr>
            <a:xfrm>
              <a:off x="13765434718" y="9121588"/>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ar-SA" sz="1400" b="0" i="0">
                  <a:latin typeface="Cambria Math" panose="02040503050406030204" pitchFamily="18" charset="0"/>
                </a:rPr>
                <a:t>م</a:t>
              </a:r>
              <a:r>
                <a:rPr lang="en-US" sz="1400" b="0" i="0">
                  <a:latin typeface="Cambria Math" panose="02040503050406030204" pitchFamily="18" charset="0"/>
                </a:rPr>
                <a:t>^</a:t>
              </a:r>
              <a:r>
                <a:rPr lang="en-US" sz="1400" i="0">
                  <a:latin typeface="Cambria Math" panose="02040503050406030204" pitchFamily="18" charset="0"/>
                </a:rPr>
                <a:t>2</a:t>
              </a:r>
              <a:endParaRPr lang="en-US" sz="1400"/>
            </a:p>
          </xdr:txBody>
        </xdr:sp>
      </mc:Fallback>
    </mc:AlternateContent>
    <xdr:clientData/>
  </xdr:oneCellAnchor>
  <xdr:oneCellAnchor>
    <xdr:from>
      <xdr:col>6</xdr:col>
      <xdr:colOff>179294</xdr:colOff>
      <xdr:row>17</xdr:row>
      <xdr:rowOff>123265</xdr:rowOff>
    </xdr:from>
    <xdr:ext cx="476282" cy="285463"/>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06964B3-7CA1-4A3A-9B39-459D461D1D81}"/>
                </a:ext>
              </a:extLst>
            </xdr:cNvPr>
            <xdr:cNvSpPr txBox="1"/>
          </xdr:nvSpPr>
          <xdr:spPr>
            <a:xfrm>
              <a:off x="13765445924" y="9726706"/>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p>
                      <m:sSupPr>
                        <m:ctrlPr>
                          <a:rPr lang="ar-SA" sz="1400" b="0" i="1">
                            <a:latin typeface="Cambria Math" panose="02040503050406030204" pitchFamily="18" charset="0"/>
                          </a:rPr>
                        </m:ctrlPr>
                      </m:sSupPr>
                      <m:e>
                        <m:r>
                          <a:rPr lang="ar-SA" sz="1400" b="0" i="1">
                            <a:latin typeface="Cambria Math" panose="02040503050406030204" pitchFamily="18" charset="0"/>
                          </a:rPr>
                          <m:t>م</m:t>
                        </m:r>
                      </m:e>
                      <m:sup>
                        <m:r>
                          <a:rPr lang="en-US" sz="1400" i="1">
                            <a:latin typeface="Cambria Math" panose="02040503050406030204" pitchFamily="18" charset="0"/>
                          </a:rPr>
                          <m:t>2</m:t>
                        </m:r>
                      </m:sup>
                    </m:sSup>
                  </m:oMath>
                </m:oMathPara>
              </a14:m>
              <a:endParaRPr lang="en-US" sz="1400"/>
            </a:p>
          </xdr:txBody>
        </xdr:sp>
      </mc:Choice>
      <mc:Fallback xmlns="">
        <xdr:sp macro="" textlink="">
          <xdr:nvSpPr>
            <xdr:cNvPr id="7" name="TextBox 6">
              <a:extLst>
                <a:ext uri="{FF2B5EF4-FFF2-40B4-BE49-F238E27FC236}">
                  <a16:creationId xmlns:a16="http://schemas.microsoft.com/office/drawing/2014/main" id="{006964B3-7CA1-4A3A-9B39-459D461D1D81}"/>
                </a:ext>
              </a:extLst>
            </xdr:cNvPr>
            <xdr:cNvSpPr txBox="1"/>
          </xdr:nvSpPr>
          <xdr:spPr>
            <a:xfrm>
              <a:off x="13765445924" y="9726706"/>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ar-SA" sz="1400" b="0" i="0">
                  <a:latin typeface="Cambria Math" panose="02040503050406030204" pitchFamily="18" charset="0"/>
                </a:rPr>
                <a:t>م</a:t>
              </a:r>
              <a:r>
                <a:rPr lang="en-US" sz="1400" b="0" i="0">
                  <a:latin typeface="Cambria Math" panose="02040503050406030204" pitchFamily="18" charset="0"/>
                </a:rPr>
                <a:t>^</a:t>
              </a:r>
              <a:r>
                <a:rPr lang="en-US" sz="1400" i="0">
                  <a:latin typeface="Cambria Math" panose="02040503050406030204" pitchFamily="18" charset="0"/>
                </a:rPr>
                <a:t>2</a:t>
              </a:r>
              <a:endParaRPr lang="en-US" sz="1400"/>
            </a:p>
          </xdr:txBody>
        </xdr:sp>
      </mc:Fallback>
    </mc:AlternateContent>
    <xdr:clientData/>
  </xdr:oneCellAnchor>
  <xdr:oneCellAnchor>
    <xdr:from>
      <xdr:col>6</xdr:col>
      <xdr:colOff>179294</xdr:colOff>
      <xdr:row>18</xdr:row>
      <xdr:rowOff>100853</xdr:rowOff>
    </xdr:from>
    <xdr:ext cx="476282" cy="285463"/>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2C5092F8-5DC2-41F3-BA21-A9593A07FEFF}"/>
                </a:ext>
              </a:extLst>
            </xdr:cNvPr>
            <xdr:cNvSpPr txBox="1"/>
          </xdr:nvSpPr>
          <xdr:spPr>
            <a:xfrm>
              <a:off x="13765445924" y="10287000"/>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p>
                      <m:sSupPr>
                        <m:ctrlPr>
                          <a:rPr lang="ar-SA" sz="1400" b="0" i="1">
                            <a:latin typeface="Cambria Math" panose="02040503050406030204" pitchFamily="18" charset="0"/>
                          </a:rPr>
                        </m:ctrlPr>
                      </m:sSupPr>
                      <m:e>
                        <m:r>
                          <a:rPr lang="ar-SA" sz="1400" b="0" i="1">
                            <a:latin typeface="Cambria Math" panose="02040503050406030204" pitchFamily="18" charset="0"/>
                          </a:rPr>
                          <m:t>م</m:t>
                        </m:r>
                      </m:e>
                      <m:sup>
                        <m:r>
                          <a:rPr lang="en-US" sz="1400" i="1">
                            <a:latin typeface="Cambria Math" panose="02040503050406030204" pitchFamily="18" charset="0"/>
                          </a:rPr>
                          <m:t>2</m:t>
                        </m:r>
                      </m:sup>
                    </m:sSup>
                  </m:oMath>
                </m:oMathPara>
              </a14:m>
              <a:endParaRPr lang="en-US" sz="1400"/>
            </a:p>
          </xdr:txBody>
        </xdr:sp>
      </mc:Choice>
      <mc:Fallback xmlns="">
        <xdr:sp macro="" textlink="">
          <xdr:nvSpPr>
            <xdr:cNvPr id="8" name="TextBox 7">
              <a:extLst>
                <a:ext uri="{FF2B5EF4-FFF2-40B4-BE49-F238E27FC236}">
                  <a16:creationId xmlns:a16="http://schemas.microsoft.com/office/drawing/2014/main" id="{2C5092F8-5DC2-41F3-BA21-A9593A07FEFF}"/>
                </a:ext>
              </a:extLst>
            </xdr:cNvPr>
            <xdr:cNvSpPr txBox="1"/>
          </xdr:nvSpPr>
          <xdr:spPr>
            <a:xfrm>
              <a:off x="13765445924" y="10287000"/>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ar-SA" sz="1400" b="0" i="0">
                  <a:latin typeface="Cambria Math" panose="02040503050406030204" pitchFamily="18" charset="0"/>
                </a:rPr>
                <a:t>م</a:t>
              </a:r>
              <a:r>
                <a:rPr lang="en-US" sz="1400" b="0" i="0">
                  <a:latin typeface="Cambria Math" panose="02040503050406030204" pitchFamily="18" charset="0"/>
                </a:rPr>
                <a:t>^</a:t>
              </a:r>
              <a:r>
                <a:rPr lang="en-US" sz="1400" i="0">
                  <a:latin typeface="Cambria Math" panose="02040503050406030204" pitchFamily="18" charset="0"/>
                </a:rPr>
                <a:t>2</a:t>
              </a:r>
              <a:endParaRPr lang="en-US" sz="1400"/>
            </a:p>
          </xdr:txBody>
        </xdr:sp>
      </mc:Fallback>
    </mc:AlternateContent>
    <xdr:clientData/>
  </xdr:oneCellAnchor>
  <xdr:oneCellAnchor>
    <xdr:from>
      <xdr:col>6</xdr:col>
      <xdr:colOff>220943</xdr:colOff>
      <xdr:row>19</xdr:row>
      <xdr:rowOff>142502</xdr:rowOff>
    </xdr:from>
    <xdr:ext cx="476282" cy="28546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BFC7FEF9-D748-4A2D-8E30-4E51AC8F8999}"/>
                </a:ext>
              </a:extLst>
            </xdr:cNvPr>
            <xdr:cNvSpPr txBox="1"/>
          </xdr:nvSpPr>
          <xdr:spPr>
            <a:xfrm>
              <a:off x="13765404275" y="10888943"/>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p>
                      <m:sSupPr>
                        <m:ctrlPr>
                          <a:rPr lang="ar-SA" sz="1400" b="0" i="1">
                            <a:latin typeface="Cambria Math" panose="02040503050406030204" pitchFamily="18" charset="0"/>
                          </a:rPr>
                        </m:ctrlPr>
                      </m:sSupPr>
                      <m:e>
                        <m:r>
                          <a:rPr lang="ar-SA" sz="1400" b="0" i="1">
                            <a:latin typeface="Cambria Math" panose="02040503050406030204" pitchFamily="18" charset="0"/>
                          </a:rPr>
                          <m:t>م</m:t>
                        </m:r>
                      </m:e>
                      <m:sup>
                        <m:r>
                          <a:rPr lang="en-US" sz="1400" i="1">
                            <a:latin typeface="Cambria Math" panose="02040503050406030204" pitchFamily="18" charset="0"/>
                          </a:rPr>
                          <m:t>2</m:t>
                        </m:r>
                      </m:sup>
                    </m:sSup>
                  </m:oMath>
                </m:oMathPara>
              </a14:m>
              <a:endParaRPr lang="en-US" sz="1400"/>
            </a:p>
          </xdr:txBody>
        </xdr:sp>
      </mc:Choice>
      <mc:Fallback xmlns="">
        <xdr:sp macro="" textlink="">
          <xdr:nvSpPr>
            <xdr:cNvPr id="9" name="TextBox 8">
              <a:extLst>
                <a:ext uri="{FF2B5EF4-FFF2-40B4-BE49-F238E27FC236}">
                  <a16:creationId xmlns:a16="http://schemas.microsoft.com/office/drawing/2014/main" id="{BFC7FEF9-D748-4A2D-8E30-4E51AC8F8999}"/>
                </a:ext>
              </a:extLst>
            </xdr:cNvPr>
            <xdr:cNvSpPr txBox="1"/>
          </xdr:nvSpPr>
          <xdr:spPr>
            <a:xfrm>
              <a:off x="13765404275" y="10888943"/>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ar-SA" sz="1400" b="0" i="0">
                  <a:latin typeface="Cambria Math" panose="02040503050406030204" pitchFamily="18" charset="0"/>
                </a:rPr>
                <a:t>م</a:t>
              </a:r>
              <a:r>
                <a:rPr lang="en-US" sz="1400" b="0" i="0">
                  <a:latin typeface="Cambria Math" panose="02040503050406030204" pitchFamily="18" charset="0"/>
                </a:rPr>
                <a:t>^</a:t>
              </a:r>
              <a:r>
                <a:rPr lang="en-US" sz="1400" i="0">
                  <a:latin typeface="Cambria Math" panose="02040503050406030204" pitchFamily="18" charset="0"/>
                </a:rPr>
                <a:t>2</a:t>
              </a:r>
              <a:endParaRPr lang="en-US" sz="1400"/>
            </a:p>
          </xdr:txBody>
        </xdr:sp>
      </mc:Fallback>
    </mc:AlternateContent>
    <xdr:clientData/>
  </xdr:oneCellAnchor>
  <xdr:oneCellAnchor>
    <xdr:from>
      <xdr:col>6</xdr:col>
      <xdr:colOff>212912</xdr:colOff>
      <xdr:row>20</xdr:row>
      <xdr:rowOff>605118</xdr:rowOff>
    </xdr:from>
    <xdr:ext cx="476282" cy="285463"/>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3BEC4469-046E-4337-A06B-2D294DCD07A2}"/>
                </a:ext>
              </a:extLst>
            </xdr:cNvPr>
            <xdr:cNvSpPr txBox="1"/>
          </xdr:nvSpPr>
          <xdr:spPr>
            <a:xfrm>
              <a:off x="13765412306" y="11967883"/>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p>
                      <m:sSupPr>
                        <m:ctrlPr>
                          <a:rPr lang="ar-SA" sz="1400" b="0" i="1">
                            <a:latin typeface="Cambria Math" panose="02040503050406030204" pitchFamily="18" charset="0"/>
                          </a:rPr>
                        </m:ctrlPr>
                      </m:sSupPr>
                      <m:e>
                        <m:r>
                          <a:rPr lang="ar-SA" sz="1400" b="0" i="1">
                            <a:latin typeface="Cambria Math" panose="02040503050406030204" pitchFamily="18" charset="0"/>
                          </a:rPr>
                          <m:t>م</m:t>
                        </m:r>
                      </m:e>
                      <m:sup>
                        <m:r>
                          <a:rPr lang="en-US" sz="1400" i="1">
                            <a:latin typeface="Cambria Math" panose="02040503050406030204" pitchFamily="18" charset="0"/>
                          </a:rPr>
                          <m:t>2</m:t>
                        </m:r>
                      </m:sup>
                    </m:sSup>
                  </m:oMath>
                </m:oMathPara>
              </a14:m>
              <a:endParaRPr lang="en-US" sz="1400"/>
            </a:p>
          </xdr:txBody>
        </xdr:sp>
      </mc:Choice>
      <mc:Fallback xmlns="">
        <xdr:sp macro="" textlink="">
          <xdr:nvSpPr>
            <xdr:cNvPr id="10" name="TextBox 9">
              <a:extLst>
                <a:ext uri="{FF2B5EF4-FFF2-40B4-BE49-F238E27FC236}">
                  <a16:creationId xmlns:a16="http://schemas.microsoft.com/office/drawing/2014/main" id="{3BEC4469-046E-4337-A06B-2D294DCD07A2}"/>
                </a:ext>
              </a:extLst>
            </xdr:cNvPr>
            <xdr:cNvSpPr txBox="1"/>
          </xdr:nvSpPr>
          <xdr:spPr>
            <a:xfrm>
              <a:off x="13765412306" y="11967883"/>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ar-SA" sz="1400" b="0" i="0">
                  <a:latin typeface="Cambria Math" panose="02040503050406030204" pitchFamily="18" charset="0"/>
                </a:rPr>
                <a:t>م</a:t>
              </a:r>
              <a:r>
                <a:rPr lang="en-US" sz="1400" b="0" i="0">
                  <a:latin typeface="Cambria Math" panose="02040503050406030204" pitchFamily="18" charset="0"/>
                </a:rPr>
                <a:t>^</a:t>
              </a:r>
              <a:r>
                <a:rPr lang="en-US" sz="1400" i="0">
                  <a:latin typeface="Cambria Math" panose="02040503050406030204" pitchFamily="18" charset="0"/>
                </a:rPr>
                <a:t>2</a:t>
              </a:r>
              <a:endParaRPr lang="en-US" sz="1400"/>
            </a:p>
          </xdr:txBody>
        </xdr:sp>
      </mc:Fallback>
    </mc:AlternateContent>
    <xdr:clientData/>
  </xdr:oneCellAnchor>
  <xdr:oneCellAnchor>
    <xdr:from>
      <xdr:col>6</xdr:col>
      <xdr:colOff>224118</xdr:colOff>
      <xdr:row>22</xdr:row>
      <xdr:rowOff>672353</xdr:rowOff>
    </xdr:from>
    <xdr:ext cx="476282" cy="285463"/>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8B97A199-DF84-4A81-B5CC-D6A70CC753A4}"/>
                </a:ext>
              </a:extLst>
            </xdr:cNvPr>
            <xdr:cNvSpPr txBox="1"/>
          </xdr:nvSpPr>
          <xdr:spPr>
            <a:xfrm>
              <a:off x="13765401100" y="14332324"/>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p>
                      <m:sSupPr>
                        <m:ctrlPr>
                          <a:rPr lang="ar-SA" sz="1400" b="0" i="1">
                            <a:latin typeface="Cambria Math" panose="02040503050406030204" pitchFamily="18" charset="0"/>
                          </a:rPr>
                        </m:ctrlPr>
                      </m:sSupPr>
                      <m:e>
                        <m:r>
                          <a:rPr lang="ar-SA" sz="1400" b="0" i="1">
                            <a:latin typeface="Cambria Math" panose="02040503050406030204" pitchFamily="18" charset="0"/>
                          </a:rPr>
                          <m:t>م</m:t>
                        </m:r>
                      </m:e>
                      <m:sup>
                        <m:r>
                          <a:rPr lang="en-US" sz="1400" i="1">
                            <a:latin typeface="Cambria Math" panose="02040503050406030204" pitchFamily="18" charset="0"/>
                          </a:rPr>
                          <m:t>2</m:t>
                        </m:r>
                      </m:sup>
                    </m:sSup>
                  </m:oMath>
                </m:oMathPara>
              </a14:m>
              <a:endParaRPr lang="en-US" sz="1400"/>
            </a:p>
          </xdr:txBody>
        </xdr:sp>
      </mc:Choice>
      <mc:Fallback xmlns="">
        <xdr:sp macro="" textlink="">
          <xdr:nvSpPr>
            <xdr:cNvPr id="11" name="TextBox 10">
              <a:extLst>
                <a:ext uri="{FF2B5EF4-FFF2-40B4-BE49-F238E27FC236}">
                  <a16:creationId xmlns:a16="http://schemas.microsoft.com/office/drawing/2014/main" id="{8B97A199-DF84-4A81-B5CC-D6A70CC753A4}"/>
                </a:ext>
              </a:extLst>
            </xdr:cNvPr>
            <xdr:cNvSpPr txBox="1"/>
          </xdr:nvSpPr>
          <xdr:spPr>
            <a:xfrm>
              <a:off x="13765401100" y="14332324"/>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ar-SA" sz="1400" b="0" i="0">
                  <a:latin typeface="Cambria Math" panose="02040503050406030204" pitchFamily="18" charset="0"/>
                </a:rPr>
                <a:t>م</a:t>
              </a:r>
              <a:r>
                <a:rPr lang="en-US" sz="1400" b="0" i="0">
                  <a:latin typeface="Cambria Math" panose="02040503050406030204" pitchFamily="18" charset="0"/>
                </a:rPr>
                <a:t>^</a:t>
              </a:r>
              <a:r>
                <a:rPr lang="en-US" sz="1400" i="0">
                  <a:latin typeface="Cambria Math" panose="02040503050406030204" pitchFamily="18" charset="0"/>
                </a:rPr>
                <a:t>2</a:t>
              </a:r>
              <a:endParaRPr lang="en-US" sz="1400"/>
            </a:p>
          </xdr:txBody>
        </xdr:sp>
      </mc:Fallback>
    </mc:AlternateContent>
    <xdr:clientData/>
  </xdr:oneCellAnchor>
  <xdr:oneCellAnchor>
    <xdr:from>
      <xdr:col>6</xdr:col>
      <xdr:colOff>190500</xdr:colOff>
      <xdr:row>23</xdr:row>
      <xdr:rowOff>123265</xdr:rowOff>
    </xdr:from>
    <xdr:ext cx="476282" cy="285463"/>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17957F1F-6EE3-42CE-97A0-C6BC849FE736}"/>
                </a:ext>
              </a:extLst>
            </xdr:cNvPr>
            <xdr:cNvSpPr txBox="1"/>
          </xdr:nvSpPr>
          <xdr:spPr>
            <a:xfrm>
              <a:off x="13765434718" y="15564971"/>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p>
                      <m:sSupPr>
                        <m:ctrlPr>
                          <a:rPr lang="ar-SA" sz="1400" b="0" i="1">
                            <a:latin typeface="Cambria Math" panose="02040503050406030204" pitchFamily="18" charset="0"/>
                          </a:rPr>
                        </m:ctrlPr>
                      </m:sSupPr>
                      <m:e>
                        <m:r>
                          <a:rPr lang="ar-SA" sz="1400" b="0" i="1">
                            <a:latin typeface="Cambria Math" panose="02040503050406030204" pitchFamily="18" charset="0"/>
                          </a:rPr>
                          <m:t>م</m:t>
                        </m:r>
                      </m:e>
                      <m:sup>
                        <m:r>
                          <a:rPr lang="en-US" sz="1400" i="1">
                            <a:latin typeface="Cambria Math" panose="02040503050406030204" pitchFamily="18" charset="0"/>
                          </a:rPr>
                          <m:t>2</m:t>
                        </m:r>
                      </m:sup>
                    </m:sSup>
                  </m:oMath>
                </m:oMathPara>
              </a14:m>
              <a:endParaRPr lang="en-US" sz="1400"/>
            </a:p>
          </xdr:txBody>
        </xdr:sp>
      </mc:Choice>
      <mc:Fallback xmlns="">
        <xdr:sp macro="" textlink="">
          <xdr:nvSpPr>
            <xdr:cNvPr id="12" name="TextBox 11">
              <a:extLst>
                <a:ext uri="{FF2B5EF4-FFF2-40B4-BE49-F238E27FC236}">
                  <a16:creationId xmlns:a16="http://schemas.microsoft.com/office/drawing/2014/main" id="{17957F1F-6EE3-42CE-97A0-C6BC849FE736}"/>
                </a:ext>
              </a:extLst>
            </xdr:cNvPr>
            <xdr:cNvSpPr txBox="1"/>
          </xdr:nvSpPr>
          <xdr:spPr>
            <a:xfrm>
              <a:off x="13765434718" y="15564971"/>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ar-SA" sz="1400" b="0" i="0">
                  <a:latin typeface="Cambria Math" panose="02040503050406030204" pitchFamily="18" charset="0"/>
                </a:rPr>
                <a:t>م</a:t>
              </a:r>
              <a:r>
                <a:rPr lang="en-US" sz="1400" b="0" i="0">
                  <a:latin typeface="Cambria Math" panose="02040503050406030204" pitchFamily="18" charset="0"/>
                </a:rPr>
                <a:t>^</a:t>
              </a:r>
              <a:r>
                <a:rPr lang="en-US" sz="1400" i="0">
                  <a:latin typeface="Cambria Math" panose="02040503050406030204" pitchFamily="18" charset="0"/>
                </a:rPr>
                <a:t>2</a:t>
              </a:r>
              <a:endParaRPr lang="en-US" sz="1400"/>
            </a:p>
          </xdr:txBody>
        </xdr:sp>
      </mc:Fallback>
    </mc:AlternateContent>
    <xdr:clientData/>
  </xdr:oneCellAnchor>
  <xdr:oneCellAnchor>
    <xdr:from>
      <xdr:col>6</xdr:col>
      <xdr:colOff>190500</xdr:colOff>
      <xdr:row>24</xdr:row>
      <xdr:rowOff>179294</xdr:rowOff>
    </xdr:from>
    <xdr:ext cx="476282" cy="285463"/>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31CB04BF-5700-49AF-A1B8-113769624587}"/>
                </a:ext>
              </a:extLst>
            </xdr:cNvPr>
            <xdr:cNvSpPr txBox="1"/>
          </xdr:nvSpPr>
          <xdr:spPr>
            <a:xfrm>
              <a:off x="13765434718" y="16259735"/>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p>
                      <m:sSupPr>
                        <m:ctrlPr>
                          <a:rPr lang="ar-SA" sz="1400" b="0" i="1">
                            <a:latin typeface="Cambria Math" panose="02040503050406030204" pitchFamily="18" charset="0"/>
                          </a:rPr>
                        </m:ctrlPr>
                      </m:sSupPr>
                      <m:e>
                        <m:r>
                          <a:rPr lang="ar-SA" sz="1400" b="0" i="1">
                            <a:latin typeface="Cambria Math" panose="02040503050406030204" pitchFamily="18" charset="0"/>
                          </a:rPr>
                          <m:t>م</m:t>
                        </m:r>
                      </m:e>
                      <m:sup>
                        <m:r>
                          <a:rPr lang="en-US" sz="1400" i="1">
                            <a:latin typeface="Cambria Math" panose="02040503050406030204" pitchFamily="18" charset="0"/>
                          </a:rPr>
                          <m:t>2</m:t>
                        </m:r>
                      </m:sup>
                    </m:sSup>
                  </m:oMath>
                </m:oMathPara>
              </a14:m>
              <a:endParaRPr lang="en-US" sz="1400"/>
            </a:p>
          </xdr:txBody>
        </xdr:sp>
      </mc:Choice>
      <mc:Fallback xmlns="">
        <xdr:sp macro="" textlink="">
          <xdr:nvSpPr>
            <xdr:cNvPr id="13" name="TextBox 12">
              <a:extLst>
                <a:ext uri="{FF2B5EF4-FFF2-40B4-BE49-F238E27FC236}">
                  <a16:creationId xmlns:a16="http://schemas.microsoft.com/office/drawing/2014/main" id="{31CB04BF-5700-49AF-A1B8-113769624587}"/>
                </a:ext>
              </a:extLst>
            </xdr:cNvPr>
            <xdr:cNvSpPr txBox="1"/>
          </xdr:nvSpPr>
          <xdr:spPr>
            <a:xfrm>
              <a:off x="13765434718" y="16259735"/>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ar-SA" sz="1400" b="0" i="0">
                  <a:latin typeface="Cambria Math" panose="02040503050406030204" pitchFamily="18" charset="0"/>
                </a:rPr>
                <a:t>م</a:t>
              </a:r>
              <a:r>
                <a:rPr lang="en-US" sz="1400" b="0" i="0">
                  <a:latin typeface="Cambria Math" panose="02040503050406030204" pitchFamily="18" charset="0"/>
                </a:rPr>
                <a:t>^</a:t>
              </a:r>
              <a:r>
                <a:rPr lang="en-US" sz="1400" i="0">
                  <a:latin typeface="Cambria Math" panose="02040503050406030204" pitchFamily="18" charset="0"/>
                </a:rPr>
                <a:t>2</a:t>
              </a:r>
              <a:endParaRPr lang="en-US" sz="1400"/>
            </a:p>
          </xdr:txBody>
        </xdr:sp>
      </mc:Fallback>
    </mc:AlternateContent>
    <xdr:clientData/>
  </xdr:oneCellAnchor>
  <xdr:oneCellAnchor>
    <xdr:from>
      <xdr:col>6</xdr:col>
      <xdr:colOff>209736</xdr:colOff>
      <xdr:row>25</xdr:row>
      <xdr:rowOff>462617</xdr:rowOff>
    </xdr:from>
    <xdr:ext cx="476282" cy="285463"/>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D071C01-F8F5-4D19-B2AE-B8DCE5BE9B69}"/>
                </a:ext>
              </a:extLst>
            </xdr:cNvPr>
            <xdr:cNvSpPr txBox="1"/>
          </xdr:nvSpPr>
          <xdr:spPr>
            <a:xfrm>
              <a:off x="13765415482" y="17293852"/>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p>
                      <m:sSupPr>
                        <m:ctrlPr>
                          <a:rPr lang="ar-SA" sz="1400" b="0" i="1">
                            <a:latin typeface="Cambria Math" panose="02040503050406030204" pitchFamily="18" charset="0"/>
                          </a:rPr>
                        </m:ctrlPr>
                      </m:sSupPr>
                      <m:e>
                        <m:r>
                          <a:rPr lang="ar-SA" sz="1400" b="0" i="1">
                            <a:latin typeface="Cambria Math" panose="02040503050406030204" pitchFamily="18" charset="0"/>
                          </a:rPr>
                          <m:t>م</m:t>
                        </m:r>
                      </m:e>
                      <m:sup>
                        <m:r>
                          <a:rPr lang="en-US" sz="1400" i="1">
                            <a:latin typeface="Cambria Math" panose="02040503050406030204" pitchFamily="18" charset="0"/>
                          </a:rPr>
                          <m:t>2</m:t>
                        </m:r>
                      </m:sup>
                    </m:sSup>
                  </m:oMath>
                </m:oMathPara>
              </a14:m>
              <a:endParaRPr lang="en-US" sz="1400"/>
            </a:p>
          </xdr:txBody>
        </xdr:sp>
      </mc:Choice>
      <mc:Fallback xmlns="">
        <xdr:sp macro="" textlink="">
          <xdr:nvSpPr>
            <xdr:cNvPr id="14" name="TextBox 13">
              <a:extLst>
                <a:ext uri="{FF2B5EF4-FFF2-40B4-BE49-F238E27FC236}">
                  <a16:creationId xmlns:a16="http://schemas.microsoft.com/office/drawing/2014/main" id="{9D071C01-F8F5-4D19-B2AE-B8DCE5BE9B69}"/>
                </a:ext>
              </a:extLst>
            </xdr:cNvPr>
            <xdr:cNvSpPr txBox="1"/>
          </xdr:nvSpPr>
          <xdr:spPr>
            <a:xfrm>
              <a:off x="13765415482" y="17293852"/>
              <a:ext cx="476282" cy="28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ar-SA" sz="1400" b="0" i="0">
                  <a:latin typeface="Cambria Math" panose="02040503050406030204" pitchFamily="18" charset="0"/>
                </a:rPr>
                <a:t>م</a:t>
              </a:r>
              <a:r>
                <a:rPr lang="en-US" sz="1400" b="0" i="0">
                  <a:latin typeface="Cambria Math" panose="02040503050406030204" pitchFamily="18" charset="0"/>
                </a:rPr>
                <a:t>^</a:t>
              </a:r>
              <a:r>
                <a:rPr lang="en-US" sz="1400" i="0">
                  <a:latin typeface="Cambria Math" panose="02040503050406030204" pitchFamily="18" charset="0"/>
                </a:rPr>
                <a:t>2</a:t>
              </a:r>
              <a:endParaRPr lang="en-US" sz="14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xdr:from>
      <xdr:col>1</xdr:col>
      <xdr:colOff>57151</xdr:colOff>
      <xdr:row>3</xdr:row>
      <xdr:rowOff>475</xdr:rowOff>
    </xdr:from>
    <xdr:to>
      <xdr:col>1</xdr:col>
      <xdr:colOff>1726406</xdr:colOff>
      <xdr:row>9</xdr:row>
      <xdr:rowOff>20002</xdr:rowOff>
    </xdr:to>
    <xdr:sp macro="" textlink="">
      <xdr:nvSpPr>
        <xdr:cNvPr id="2" name="Rectangle: Rounded Corners 1">
          <a:extLst>
            <a:ext uri="{FF2B5EF4-FFF2-40B4-BE49-F238E27FC236}">
              <a16:creationId xmlns:a16="http://schemas.microsoft.com/office/drawing/2014/main" id="{31F681A1-69B7-B17D-F959-ED4F1F09B4DC}"/>
            </a:ext>
          </a:extLst>
        </xdr:cNvPr>
        <xdr:cNvSpPr/>
      </xdr:nvSpPr>
      <xdr:spPr>
        <a:xfrm>
          <a:off x="342901" y="179069"/>
          <a:ext cx="1669255" cy="109108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124779</xdr:colOff>
      <xdr:row>2</xdr:row>
      <xdr:rowOff>170496</xdr:rowOff>
    </xdr:from>
    <xdr:to>
      <xdr:col>1</xdr:col>
      <xdr:colOff>771209</xdr:colOff>
      <xdr:row>9</xdr:row>
      <xdr:rowOff>35719</xdr:rowOff>
    </xdr:to>
    <xdr:sp macro="" textlink="">
      <xdr:nvSpPr>
        <xdr:cNvPr id="10" name="Rectangle: Top Corners Rounded 9">
          <a:extLst>
            <a:ext uri="{FF2B5EF4-FFF2-40B4-BE49-F238E27FC236}">
              <a16:creationId xmlns:a16="http://schemas.microsoft.com/office/drawing/2014/main" id="{9FD5E294-811D-4311-8096-D96E4B646AF9}"/>
            </a:ext>
          </a:extLst>
        </xdr:cNvPr>
        <xdr:cNvSpPr/>
      </xdr:nvSpPr>
      <xdr:spPr>
        <a:xfrm rot="16200000">
          <a:off x="33179" y="619284"/>
          <a:ext cx="1115379" cy="932180"/>
        </a:xfrm>
        <a:prstGeom prst="round2SameRect">
          <a:avLst>
            <a:gd name="adj1" fmla="val 50000"/>
            <a:gd name="adj2" fmla="val 0"/>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134782</xdr:colOff>
      <xdr:row>2</xdr:row>
      <xdr:rowOff>226217</xdr:rowOff>
    </xdr:from>
    <xdr:to>
      <xdr:col>1</xdr:col>
      <xdr:colOff>555785</xdr:colOff>
      <xdr:row>9</xdr:row>
      <xdr:rowOff>49532</xdr:rowOff>
    </xdr:to>
    <xdr:sp macro="" textlink="">
      <xdr:nvSpPr>
        <xdr:cNvPr id="11" name="Rectangle: Top Corners Rounded 10">
          <a:extLst>
            <a:ext uri="{FF2B5EF4-FFF2-40B4-BE49-F238E27FC236}">
              <a16:creationId xmlns:a16="http://schemas.microsoft.com/office/drawing/2014/main" id="{3A53CF73-8168-43D2-8E7A-0A674B5A1CC0}"/>
            </a:ext>
          </a:extLst>
        </xdr:cNvPr>
        <xdr:cNvSpPr/>
      </xdr:nvSpPr>
      <xdr:spPr>
        <a:xfrm rot="16200000">
          <a:off x="-191452" y="1004889"/>
          <a:ext cx="1359221" cy="706753"/>
        </a:xfrm>
        <a:prstGeom prst="round2SameRect">
          <a:avLst>
            <a:gd name="adj1" fmla="val 44799"/>
            <a:gd name="adj2" fmla="val 0"/>
          </a:avLst>
        </a:prstGeom>
        <a:solidFill>
          <a:srgbClr val="0AA1AF"/>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627221</xdr:colOff>
      <xdr:row>4</xdr:row>
      <xdr:rowOff>105251</xdr:rowOff>
    </xdr:from>
    <xdr:to>
      <xdr:col>1</xdr:col>
      <xdr:colOff>1503997</xdr:colOff>
      <xdr:row>7</xdr:row>
      <xdr:rowOff>134779</xdr:rowOff>
    </xdr:to>
    <xdr:sp macro="" textlink="">
      <xdr:nvSpPr>
        <xdr:cNvPr id="16" name="TextBox 15">
          <a:extLst>
            <a:ext uri="{FF2B5EF4-FFF2-40B4-BE49-F238E27FC236}">
              <a16:creationId xmlns:a16="http://schemas.microsoft.com/office/drawing/2014/main" id="{653FF364-12EF-07D5-FC4D-37FBE29500AE}"/>
            </a:ext>
          </a:extLst>
        </xdr:cNvPr>
        <xdr:cNvSpPr txBox="1"/>
      </xdr:nvSpPr>
      <xdr:spPr>
        <a:xfrm>
          <a:off x="912971" y="819626"/>
          <a:ext cx="876776" cy="5653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SA" sz="2000" b="1">
              <a:latin typeface="Sakkal Majalla" panose="02000000000000000000" pitchFamily="2" charset="-78"/>
              <a:cs typeface="Sakkal Majalla" panose="02000000000000000000" pitchFamily="2" charset="-78"/>
            </a:rPr>
            <a:t>الاطفاء</a:t>
          </a:r>
          <a:endParaRPr lang="en-US" sz="2000" b="1">
            <a:latin typeface="Sakkal Majalla" panose="02000000000000000000" pitchFamily="2" charset="-78"/>
            <a:cs typeface="Sakkal Majalla" panose="02000000000000000000" pitchFamily="2" charset="-78"/>
          </a:endParaRPr>
        </a:p>
      </xdr:txBody>
    </xdr:sp>
    <xdr:clientData/>
  </xdr:twoCellAnchor>
  <xdr:twoCellAnchor>
    <xdr:from>
      <xdr:col>1</xdr:col>
      <xdr:colOff>0</xdr:colOff>
      <xdr:row>12</xdr:row>
      <xdr:rowOff>0</xdr:rowOff>
    </xdr:from>
    <xdr:to>
      <xdr:col>1</xdr:col>
      <xdr:colOff>932180</xdr:colOff>
      <xdr:row>18</xdr:row>
      <xdr:rowOff>40006</xdr:rowOff>
    </xdr:to>
    <xdr:sp macro="" textlink="">
      <xdr:nvSpPr>
        <xdr:cNvPr id="19" name="Rectangle: Top Corners Rounded 18">
          <a:extLst>
            <a:ext uri="{FF2B5EF4-FFF2-40B4-BE49-F238E27FC236}">
              <a16:creationId xmlns:a16="http://schemas.microsoft.com/office/drawing/2014/main" id="{3762C179-D4D4-4327-B484-7B067EE9F09F}"/>
            </a:ext>
          </a:extLst>
        </xdr:cNvPr>
        <xdr:cNvSpPr/>
      </xdr:nvSpPr>
      <xdr:spPr>
        <a:xfrm rot="16200000">
          <a:off x="196055" y="2232820"/>
          <a:ext cx="1111569" cy="932180"/>
        </a:xfrm>
        <a:prstGeom prst="round2SameRect">
          <a:avLst>
            <a:gd name="adj1" fmla="val 50000"/>
            <a:gd name="adj2" fmla="val 0"/>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57148</xdr:colOff>
      <xdr:row>10</xdr:row>
      <xdr:rowOff>58101</xdr:rowOff>
    </xdr:from>
    <xdr:to>
      <xdr:col>1</xdr:col>
      <xdr:colOff>1730213</xdr:colOff>
      <xdr:row>16</xdr:row>
      <xdr:rowOff>77629</xdr:rowOff>
    </xdr:to>
    <xdr:sp macro="" textlink="">
      <xdr:nvSpPr>
        <xdr:cNvPr id="21" name="Rectangle: Rounded Corners 20">
          <a:extLst>
            <a:ext uri="{FF2B5EF4-FFF2-40B4-BE49-F238E27FC236}">
              <a16:creationId xmlns:a16="http://schemas.microsoft.com/office/drawing/2014/main" id="{A1FFD040-9259-4FF6-A4AA-85BC407C9C9A}"/>
            </a:ext>
          </a:extLst>
        </xdr:cNvPr>
        <xdr:cNvSpPr/>
      </xdr:nvSpPr>
      <xdr:spPr>
        <a:xfrm>
          <a:off x="342898" y="1844039"/>
          <a:ext cx="1673065" cy="109109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134779</xdr:colOff>
      <xdr:row>10</xdr:row>
      <xdr:rowOff>33813</xdr:rowOff>
    </xdr:from>
    <xdr:to>
      <xdr:col>1</xdr:col>
      <xdr:colOff>551972</xdr:colOff>
      <xdr:row>16</xdr:row>
      <xdr:rowOff>109065</xdr:rowOff>
    </xdr:to>
    <xdr:sp macro="" textlink="">
      <xdr:nvSpPr>
        <xdr:cNvPr id="22" name="Rectangle: Top Corners Rounded 21">
          <a:extLst>
            <a:ext uri="{FF2B5EF4-FFF2-40B4-BE49-F238E27FC236}">
              <a16:creationId xmlns:a16="http://schemas.microsoft.com/office/drawing/2014/main" id="{B5EA1CD8-8C3D-4917-85B0-017A5D71EC27}"/>
            </a:ext>
          </a:extLst>
        </xdr:cNvPr>
        <xdr:cNvSpPr/>
      </xdr:nvSpPr>
      <xdr:spPr>
        <a:xfrm rot="16200000">
          <a:off x="-87156" y="2041686"/>
          <a:ext cx="1146814" cy="702943"/>
        </a:xfrm>
        <a:prstGeom prst="round2SameRect">
          <a:avLst>
            <a:gd name="adj1" fmla="val 44799"/>
            <a:gd name="adj2" fmla="val 0"/>
          </a:avLst>
        </a:prstGeom>
        <a:solidFill>
          <a:srgbClr val="0AA1AF"/>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625313</xdr:colOff>
      <xdr:row>11</xdr:row>
      <xdr:rowOff>162878</xdr:rowOff>
    </xdr:from>
    <xdr:to>
      <xdr:col>1</xdr:col>
      <xdr:colOff>1503994</xdr:colOff>
      <xdr:row>15</xdr:row>
      <xdr:rowOff>13812</xdr:rowOff>
    </xdr:to>
    <xdr:sp macro="" textlink="">
      <xdr:nvSpPr>
        <xdr:cNvPr id="23" name="TextBox 22">
          <a:extLst>
            <a:ext uri="{FF2B5EF4-FFF2-40B4-BE49-F238E27FC236}">
              <a16:creationId xmlns:a16="http://schemas.microsoft.com/office/drawing/2014/main" id="{BAEB7322-8833-4D6A-83D8-5C482F0757F3}"/>
            </a:ext>
          </a:extLst>
        </xdr:cNvPr>
        <xdr:cNvSpPr txBox="1"/>
      </xdr:nvSpPr>
      <xdr:spPr>
        <a:xfrm>
          <a:off x="911063" y="2127409"/>
          <a:ext cx="878681" cy="5653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SA" sz="2000" b="1">
              <a:latin typeface="Sakkal Majalla" panose="02000000000000000000" pitchFamily="2" charset="-78"/>
              <a:cs typeface="Sakkal Majalla" panose="02000000000000000000" pitchFamily="2" charset="-78"/>
            </a:rPr>
            <a:t>الانذار</a:t>
          </a:r>
          <a:endParaRPr lang="en-US" sz="2000" b="1">
            <a:latin typeface="Sakkal Majalla" panose="02000000000000000000" pitchFamily="2" charset="-78"/>
            <a:cs typeface="Sakkal Majalla" panose="02000000000000000000" pitchFamily="2" charset="-78"/>
          </a:endParaRPr>
        </a:p>
      </xdr:txBody>
    </xdr:sp>
    <xdr:clientData/>
  </xdr:twoCellAnchor>
  <xdr:twoCellAnchor>
    <xdr:from>
      <xdr:col>1</xdr:col>
      <xdr:colOff>100963</xdr:colOff>
      <xdr:row>17</xdr:row>
      <xdr:rowOff>115728</xdr:rowOff>
    </xdr:from>
    <xdr:to>
      <xdr:col>1</xdr:col>
      <xdr:colOff>1775933</xdr:colOff>
      <xdr:row>23</xdr:row>
      <xdr:rowOff>135256</xdr:rowOff>
    </xdr:to>
    <xdr:sp macro="" textlink="">
      <xdr:nvSpPr>
        <xdr:cNvPr id="24" name="Rectangle: Rounded Corners 23">
          <a:extLst>
            <a:ext uri="{FF2B5EF4-FFF2-40B4-BE49-F238E27FC236}">
              <a16:creationId xmlns:a16="http://schemas.microsoft.com/office/drawing/2014/main" id="{6B6BEA98-C1DA-4EDD-838F-7FFF50EE9869}"/>
            </a:ext>
          </a:extLst>
        </xdr:cNvPr>
        <xdr:cNvSpPr/>
      </xdr:nvSpPr>
      <xdr:spPr>
        <a:xfrm>
          <a:off x="386713" y="3151822"/>
          <a:ext cx="1674970" cy="109109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178594</xdr:colOff>
      <xdr:row>17</xdr:row>
      <xdr:rowOff>95250</xdr:rowOff>
    </xdr:from>
    <xdr:to>
      <xdr:col>1</xdr:col>
      <xdr:colOff>595787</xdr:colOff>
      <xdr:row>23</xdr:row>
      <xdr:rowOff>168597</xdr:rowOff>
    </xdr:to>
    <xdr:sp macro="" textlink="">
      <xdr:nvSpPr>
        <xdr:cNvPr id="25" name="Rectangle: Top Corners Rounded 24">
          <a:extLst>
            <a:ext uri="{FF2B5EF4-FFF2-40B4-BE49-F238E27FC236}">
              <a16:creationId xmlns:a16="http://schemas.microsoft.com/office/drawing/2014/main" id="{3DEF4681-D0D5-4E0B-90E9-716AD116A34B}"/>
            </a:ext>
          </a:extLst>
        </xdr:cNvPr>
        <xdr:cNvSpPr/>
      </xdr:nvSpPr>
      <xdr:spPr>
        <a:xfrm rot="16200000">
          <a:off x="-42389" y="3352327"/>
          <a:ext cx="1144909" cy="702943"/>
        </a:xfrm>
        <a:prstGeom prst="round2SameRect">
          <a:avLst>
            <a:gd name="adj1" fmla="val 44799"/>
            <a:gd name="adj2" fmla="val 0"/>
          </a:avLst>
        </a:prstGeom>
        <a:solidFill>
          <a:srgbClr val="0AA1AF"/>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667223</xdr:colOff>
      <xdr:row>18</xdr:row>
      <xdr:rowOff>35718</xdr:rowOff>
    </xdr:from>
    <xdr:to>
      <xdr:col>1</xdr:col>
      <xdr:colOff>1678781</xdr:colOff>
      <xdr:row>23</xdr:row>
      <xdr:rowOff>85249</xdr:rowOff>
    </xdr:to>
    <xdr:sp macro="" textlink="">
      <xdr:nvSpPr>
        <xdr:cNvPr id="26" name="TextBox 25">
          <a:extLst>
            <a:ext uri="{FF2B5EF4-FFF2-40B4-BE49-F238E27FC236}">
              <a16:creationId xmlns:a16="http://schemas.microsoft.com/office/drawing/2014/main" id="{0B3BB966-2EDA-400E-8C1B-FCBF32585771}"/>
            </a:ext>
          </a:extLst>
        </xdr:cNvPr>
        <xdr:cNvSpPr txBox="1"/>
      </xdr:nvSpPr>
      <xdr:spPr>
        <a:xfrm>
          <a:off x="952973" y="3250406"/>
          <a:ext cx="1011558" cy="9424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SA" sz="2000" b="1">
              <a:latin typeface="Sakkal Majalla" panose="02000000000000000000" pitchFamily="2" charset="-78"/>
              <a:cs typeface="Sakkal Majalla" panose="02000000000000000000" pitchFamily="2" charset="-78"/>
            </a:rPr>
            <a:t>العناصر</a:t>
          </a:r>
        </a:p>
        <a:p>
          <a:pPr algn="ctr"/>
          <a:r>
            <a:rPr lang="ar-SA" sz="2000" b="1">
              <a:latin typeface="Sakkal Majalla" panose="02000000000000000000" pitchFamily="2" charset="-78"/>
              <a:cs typeface="Sakkal Majalla" panose="02000000000000000000" pitchFamily="2" charset="-78"/>
            </a:rPr>
            <a:t>المعماريه</a:t>
          </a:r>
          <a:endParaRPr lang="en-US" sz="2000" b="1">
            <a:latin typeface="Sakkal Majalla" panose="02000000000000000000" pitchFamily="2" charset="-78"/>
            <a:cs typeface="Sakkal Majalla" panose="02000000000000000000" pitchFamily="2" charset="-78"/>
          </a:endParaRPr>
        </a:p>
      </xdr:txBody>
    </xdr:sp>
    <xdr:clientData/>
  </xdr:twoCellAnchor>
  <xdr:twoCellAnchor>
    <xdr:from>
      <xdr:col>1</xdr:col>
      <xdr:colOff>112869</xdr:colOff>
      <xdr:row>24</xdr:row>
      <xdr:rowOff>103822</xdr:rowOff>
    </xdr:from>
    <xdr:to>
      <xdr:col>1</xdr:col>
      <xdr:colOff>1787839</xdr:colOff>
      <xdr:row>30</xdr:row>
      <xdr:rowOff>123349</xdr:rowOff>
    </xdr:to>
    <xdr:sp macro="" textlink="">
      <xdr:nvSpPr>
        <xdr:cNvPr id="27" name="Rectangle: Rounded Corners 26">
          <a:extLst>
            <a:ext uri="{FF2B5EF4-FFF2-40B4-BE49-F238E27FC236}">
              <a16:creationId xmlns:a16="http://schemas.microsoft.com/office/drawing/2014/main" id="{32C13607-F14C-4AE9-85AC-5BF8E12FFD60}"/>
            </a:ext>
          </a:extLst>
        </xdr:cNvPr>
        <xdr:cNvSpPr/>
      </xdr:nvSpPr>
      <xdr:spPr>
        <a:xfrm>
          <a:off x="398619" y="4390072"/>
          <a:ext cx="1674970" cy="109109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24</xdr:row>
      <xdr:rowOff>83344</xdr:rowOff>
    </xdr:from>
    <xdr:to>
      <xdr:col>1</xdr:col>
      <xdr:colOff>607693</xdr:colOff>
      <xdr:row>30</xdr:row>
      <xdr:rowOff>156690</xdr:rowOff>
    </xdr:to>
    <xdr:sp macro="" textlink="">
      <xdr:nvSpPr>
        <xdr:cNvPr id="28" name="Rectangle: Top Corners Rounded 27">
          <a:extLst>
            <a:ext uri="{FF2B5EF4-FFF2-40B4-BE49-F238E27FC236}">
              <a16:creationId xmlns:a16="http://schemas.microsoft.com/office/drawing/2014/main" id="{A0739975-8F0E-4BFA-BB4E-4405A9EFD2EB}"/>
            </a:ext>
          </a:extLst>
        </xdr:cNvPr>
        <xdr:cNvSpPr/>
      </xdr:nvSpPr>
      <xdr:spPr>
        <a:xfrm rot="16200000">
          <a:off x="-30483" y="4590577"/>
          <a:ext cx="1144909" cy="702943"/>
        </a:xfrm>
        <a:prstGeom prst="round2SameRect">
          <a:avLst>
            <a:gd name="adj1" fmla="val 44799"/>
            <a:gd name="adj2" fmla="val 0"/>
          </a:avLst>
        </a:prstGeom>
        <a:solidFill>
          <a:srgbClr val="0AA1AF"/>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124776</xdr:colOff>
      <xdr:row>31</xdr:row>
      <xdr:rowOff>103823</xdr:rowOff>
    </xdr:from>
    <xdr:to>
      <xdr:col>2</xdr:col>
      <xdr:colOff>1902</xdr:colOff>
      <xdr:row>37</xdr:row>
      <xdr:rowOff>123350</xdr:rowOff>
    </xdr:to>
    <xdr:sp macro="" textlink="">
      <xdr:nvSpPr>
        <xdr:cNvPr id="30" name="Rectangle: Rounded Corners 29">
          <a:extLst>
            <a:ext uri="{FF2B5EF4-FFF2-40B4-BE49-F238E27FC236}">
              <a16:creationId xmlns:a16="http://schemas.microsoft.com/office/drawing/2014/main" id="{F46F4331-FC1F-4D78-9B4E-C61506E9339A}"/>
            </a:ext>
          </a:extLst>
        </xdr:cNvPr>
        <xdr:cNvSpPr/>
      </xdr:nvSpPr>
      <xdr:spPr>
        <a:xfrm>
          <a:off x="410526" y="5640229"/>
          <a:ext cx="1674970" cy="109109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202407</xdr:colOff>
      <xdr:row>31</xdr:row>
      <xdr:rowOff>83345</xdr:rowOff>
    </xdr:from>
    <xdr:to>
      <xdr:col>1</xdr:col>
      <xdr:colOff>619600</xdr:colOff>
      <xdr:row>37</xdr:row>
      <xdr:rowOff>156691</xdr:rowOff>
    </xdr:to>
    <xdr:sp macro="" textlink="">
      <xdr:nvSpPr>
        <xdr:cNvPr id="31" name="Rectangle: Top Corners Rounded 30">
          <a:extLst>
            <a:ext uri="{FF2B5EF4-FFF2-40B4-BE49-F238E27FC236}">
              <a16:creationId xmlns:a16="http://schemas.microsoft.com/office/drawing/2014/main" id="{4CFDA1C7-CEB4-4800-889C-DE0479907C6D}"/>
            </a:ext>
          </a:extLst>
        </xdr:cNvPr>
        <xdr:cNvSpPr/>
      </xdr:nvSpPr>
      <xdr:spPr>
        <a:xfrm rot="16200000">
          <a:off x="-18576" y="5840734"/>
          <a:ext cx="1144909" cy="702943"/>
        </a:xfrm>
        <a:prstGeom prst="round2SameRect">
          <a:avLst>
            <a:gd name="adj1" fmla="val 44799"/>
            <a:gd name="adj2" fmla="val 0"/>
          </a:avLst>
        </a:prstGeom>
        <a:solidFill>
          <a:srgbClr val="0AA1AF"/>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696750</xdr:colOff>
      <xdr:row>32</xdr:row>
      <xdr:rowOff>95251</xdr:rowOff>
    </xdr:from>
    <xdr:to>
      <xdr:col>1</xdr:col>
      <xdr:colOff>1643061</xdr:colOff>
      <xdr:row>36</xdr:row>
      <xdr:rowOff>55724</xdr:rowOff>
    </xdr:to>
    <xdr:sp macro="" textlink="">
      <xdr:nvSpPr>
        <xdr:cNvPr id="32" name="TextBox 31">
          <a:extLst>
            <a:ext uri="{FF2B5EF4-FFF2-40B4-BE49-F238E27FC236}">
              <a16:creationId xmlns:a16="http://schemas.microsoft.com/office/drawing/2014/main" id="{5F628353-B6D0-45B6-A53A-E11839895E58}"/>
            </a:ext>
          </a:extLst>
        </xdr:cNvPr>
        <xdr:cNvSpPr txBox="1"/>
      </xdr:nvSpPr>
      <xdr:spPr>
        <a:xfrm>
          <a:off x="982500" y="7286626"/>
          <a:ext cx="946311" cy="8653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SA" sz="2000" b="1">
              <a:latin typeface="Sakkal Majalla" panose="02000000000000000000" pitchFamily="2" charset="-78"/>
              <a:cs typeface="Sakkal Majalla" panose="02000000000000000000" pitchFamily="2" charset="-78"/>
            </a:rPr>
            <a:t>التبريد</a:t>
          </a:r>
          <a:r>
            <a:rPr lang="ar-SA" sz="2000" b="1" baseline="0">
              <a:latin typeface="Sakkal Majalla" panose="02000000000000000000" pitchFamily="2" charset="-78"/>
              <a:cs typeface="Sakkal Majalla" panose="02000000000000000000" pitchFamily="2" charset="-78"/>
            </a:rPr>
            <a:t> التكييف</a:t>
          </a:r>
          <a:endParaRPr lang="en-US" sz="2000" b="1">
            <a:latin typeface="Sakkal Majalla" panose="02000000000000000000" pitchFamily="2" charset="-78"/>
            <a:cs typeface="Sakkal Majalla" panose="02000000000000000000" pitchFamily="2" charset="-78"/>
          </a:endParaRPr>
        </a:p>
      </xdr:txBody>
    </xdr:sp>
    <xdr:clientData/>
  </xdr:twoCellAnchor>
  <xdr:twoCellAnchor>
    <xdr:from>
      <xdr:col>1</xdr:col>
      <xdr:colOff>89056</xdr:colOff>
      <xdr:row>38</xdr:row>
      <xdr:rowOff>103821</xdr:rowOff>
    </xdr:from>
    <xdr:to>
      <xdr:col>1</xdr:col>
      <xdr:colOff>1764026</xdr:colOff>
      <xdr:row>44</xdr:row>
      <xdr:rowOff>123349</xdr:rowOff>
    </xdr:to>
    <xdr:sp macro="" textlink="">
      <xdr:nvSpPr>
        <xdr:cNvPr id="33" name="Rectangle: Rounded Corners 32">
          <a:extLst>
            <a:ext uri="{FF2B5EF4-FFF2-40B4-BE49-F238E27FC236}">
              <a16:creationId xmlns:a16="http://schemas.microsoft.com/office/drawing/2014/main" id="{A8D57CBB-0CD8-4B20-8C04-D080CC1730EC}"/>
            </a:ext>
          </a:extLst>
        </xdr:cNvPr>
        <xdr:cNvSpPr/>
      </xdr:nvSpPr>
      <xdr:spPr>
        <a:xfrm>
          <a:off x="374806" y="6890384"/>
          <a:ext cx="1674970" cy="109109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166687</xdr:colOff>
      <xdr:row>38</xdr:row>
      <xdr:rowOff>83343</xdr:rowOff>
    </xdr:from>
    <xdr:to>
      <xdr:col>1</xdr:col>
      <xdr:colOff>583880</xdr:colOff>
      <xdr:row>44</xdr:row>
      <xdr:rowOff>156690</xdr:rowOff>
    </xdr:to>
    <xdr:sp macro="" textlink="">
      <xdr:nvSpPr>
        <xdr:cNvPr id="34" name="Rectangle: Top Corners Rounded 33">
          <a:extLst>
            <a:ext uri="{FF2B5EF4-FFF2-40B4-BE49-F238E27FC236}">
              <a16:creationId xmlns:a16="http://schemas.microsoft.com/office/drawing/2014/main" id="{3F513EFC-625D-4B5A-A2AB-058FA4347C1E}"/>
            </a:ext>
          </a:extLst>
        </xdr:cNvPr>
        <xdr:cNvSpPr/>
      </xdr:nvSpPr>
      <xdr:spPr>
        <a:xfrm rot="16200000">
          <a:off x="-54296" y="7090889"/>
          <a:ext cx="1144909" cy="702943"/>
        </a:xfrm>
        <a:prstGeom prst="round2SameRect">
          <a:avLst>
            <a:gd name="adj1" fmla="val 44799"/>
            <a:gd name="adj2" fmla="val 0"/>
          </a:avLst>
        </a:prstGeom>
        <a:solidFill>
          <a:srgbClr val="0AA1AF"/>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661031</xdr:colOff>
      <xdr:row>39</xdr:row>
      <xdr:rowOff>107156</xdr:rowOff>
    </xdr:from>
    <xdr:to>
      <xdr:col>1</xdr:col>
      <xdr:colOff>1583531</xdr:colOff>
      <xdr:row>43</xdr:row>
      <xdr:rowOff>55722</xdr:rowOff>
    </xdr:to>
    <xdr:sp macro="" textlink="">
      <xdr:nvSpPr>
        <xdr:cNvPr id="35" name="TextBox 34">
          <a:extLst>
            <a:ext uri="{FF2B5EF4-FFF2-40B4-BE49-F238E27FC236}">
              <a16:creationId xmlns:a16="http://schemas.microsoft.com/office/drawing/2014/main" id="{4B6EE9D9-9366-4ACB-99E6-73860039FD32}"/>
            </a:ext>
          </a:extLst>
        </xdr:cNvPr>
        <xdr:cNvSpPr txBox="1"/>
      </xdr:nvSpPr>
      <xdr:spPr>
        <a:xfrm>
          <a:off x="946781" y="8882062"/>
          <a:ext cx="922500" cy="8534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SA" sz="2000" b="1">
              <a:latin typeface="Sakkal Majalla" panose="02000000000000000000" pitchFamily="2" charset="-78"/>
              <a:cs typeface="Sakkal Majalla" panose="02000000000000000000" pitchFamily="2" charset="-78"/>
            </a:rPr>
            <a:t>التيار الكهربائي</a:t>
          </a:r>
          <a:endParaRPr lang="en-US" sz="2000" b="1">
            <a:latin typeface="Sakkal Majalla" panose="02000000000000000000" pitchFamily="2" charset="-78"/>
            <a:cs typeface="Sakkal Majalla" panose="02000000000000000000" pitchFamily="2" charset="-78"/>
          </a:endParaRPr>
        </a:p>
      </xdr:txBody>
    </xdr:sp>
    <xdr:clientData/>
  </xdr:twoCellAnchor>
  <xdr:twoCellAnchor>
    <xdr:from>
      <xdr:col>1</xdr:col>
      <xdr:colOff>132872</xdr:colOff>
      <xdr:row>45</xdr:row>
      <xdr:rowOff>80009</xdr:rowOff>
    </xdr:from>
    <xdr:to>
      <xdr:col>2</xdr:col>
      <xdr:colOff>9998</xdr:colOff>
      <xdr:row>51</xdr:row>
      <xdr:rowOff>95727</xdr:rowOff>
    </xdr:to>
    <xdr:sp macro="" textlink="">
      <xdr:nvSpPr>
        <xdr:cNvPr id="36" name="Rectangle: Rounded Corners 35">
          <a:extLst>
            <a:ext uri="{FF2B5EF4-FFF2-40B4-BE49-F238E27FC236}">
              <a16:creationId xmlns:a16="http://schemas.microsoft.com/office/drawing/2014/main" id="{66C4FFDF-5959-4391-8847-4402839FBBBF}"/>
            </a:ext>
          </a:extLst>
        </xdr:cNvPr>
        <xdr:cNvSpPr/>
      </xdr:nvSpPr>
      <xdr:spPr>
        <a:xfrm>
          <a:off x="418622" y="10212228"/>
          <a:ext cx="1674970" cy="137303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178594</xdr:colOff>
      <xdr:row>45</xdr:row>
      <xdr:rowOff>59531</xdr:rowOff>
    </xdr:from>
    <xdr:to>
      <xdr:col>1</xdr:col>
      <xdr:colOff>595787</xdr:colOff>
      <xdr:row>51</xdr:row>
      <xdr:rowOff>132878</xdr:rowOff>
    </xdr:to>
    <xdr:sp macro="" textlink="">
      <xdr:nvSpPr>
        <xdr:cNvPr id="37" name="Rectangle: Top Corners Rounded 36">
          <a:extLst>
            <a:ext uri="{FF2B5EF4-FFF2-40B4-BE49-F238E27FC236}">
              <a16:creationId xmlns:a16="http://schemas.microsoft.com/office/drawing/2014/main" id="{A2CEFA53-976F-4009-A9CD-3504D0836D75}"/>
            </a:ext>
          </a:extLst>
        </xdr:cNvPr>
        <xdr:cNvSpPr/>
      </xdr:nvSpPr>
      <xdr:spPr>
        <a:xfrm rot="16200000">
          <a:off x="-42389" y="8317233"/>
          <a:ext cx="1144909" cy="702943"/>
        </a:xfrm>
        <a:prstGeom prst="round2SameRect">
          <a:avLst>
            <a:gd name="adj1" fmla="val 44799"/>
            <a:gd name="adj2" fmla="val 0"/>
          </a:avLst>
        </a:prstGeom>
        <a:solidFill>
          <a:srgbClr val="0AA1AF"/>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667223</xdr:colOff>
      <xdr:row>46</xdr:row>
      <xdr:rowOff>119063</xdr:rowOff>
    </xdr:from>
    <xdr:to>
      <xdr:col>1</xdr:col>
      <xdr:colOff>1559719</xdr:colOff>
      <xdr:row>50</xdr:row>
      <xdr:rowOff>35720</xdr:rowOff>
    </xdr:to>
    <xdr:sp macro="" textlink="">
      <xdr:nvSpPr>
        <xdr:cNvPr id="38" name="TextBox 37">
          <a:extLst>
            <a:ext uri="{FF2B5EF4-FFF2-40B4-BE49-F238E27FC236}">
              <a16:creationId xmlns:a16="http://schemas.microsoft.com/office/drawing/2014/main" id="{E194683C-776D-4B13-8601-397B1107221E}"/>
            </a:ext>
          </a:extLst>
        </xdr:cNvPr>
        <xdr:cNvSpPr txBox="1"/>
      </xdr:nvSpPr>
      <xdr:spPr>
        <a:xfrm>
          <a:off x="952973" y="10477501"/>
          <a:ext cx="892496" cy="8215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SA" sz="2000" b="1">
              <a:latin typeface="Sakkal Majalla" panose="02000000000000000000" pitchFamily="2" charset="-78"/>
              <a:cs typeface="Sakkal Majalla" panose="02000000000000000000" pitchFamily="2" charset="-78"/>
            </a:rPr>
            <a:t>صرف</a:t>
          </a:r>
        </a:p>
        <a:p>
          <a:pPr algn="ctr"/>
          <a:r>
            <a:rPr lang="ar-SA" sz="2000" b="1">
              <a:latin typeface="Sakkal Majalla" panose="02000000000000000000" pitchFamily="2" charset="-78"/>
              <a:cs typeface="Sakkal Majalla" panose="02000000000000000000" pitchFamily="2" charset="-78"/>
            </a:rPr>
            <a:t>المياه</a:t>
          </a:r>
          <a:endParaRPr lang="en-US" sz="2000" b="1">
            <a:latin typeface="Sakkal Majalla" panose="02000000000000000000" pitchFamily="2" charset="-78"/>
            <a:cs typeface="Sakkal Majalla" panose="02000000000000000000" pitchFamily="2" charset="-78"/>
          </a:endParaRPr>
        </a:p>
      </xdr:txBody>
    </xdr:sp>
    <xdr:clientData/>
  </xdr:twoCellAnchor>
  <xdr:twoCellAnchor>
    <xdr:from>
      <xdr:col>1</xdr:col>
      <xdr:colOff>65244</xdr:colOff>
      <xdr:row>52</xdr:row>
      <xdr:rowOff>68103</xdr:rowOff>
    </xdr:from>
    <xdr:to>
      <xdr:col>1</xdr:col>
      <xdr:colOff>1740214</xdr:colOff>
      <xdr:row>58</xdr:row>
      <xdr:rowOff>87630</xdr:rowOff>
    </xdr:to>
    <xdr:sp macro="" textlink="">
      <xdr:nvSpPr>
        <xdr:cNvPr id="39" name="Rectangle: Rounded Corners 38">
          <a:extLst>
            <a:ext uri="{FF2B5EF4-FFF2-40B4-BE49-F238E27FC236}">
              <a16:creationId xmlns:a16="http://schemas.microsoft.com/office/drawing/2014/main" id="{F00F72F9-89F9-4414-B312-94B8694ABE53}"/>
            </a:ext>
          </a:extLst>
        </xdr:cNvPr>
        <xdr:cNvSpPr/>
      </xdr:nvSpPr>
      <xdr:spPr>
        <a:xfrm>
          <a:off x="350994" y="9354978"/>
          <a:ext cx="1674970" cy="109109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142875</xdr:colOff>
      <xdr:row>52</xdr:row>
      <xdr:rowOff>47625</xdr:rowOff>
    </xdr:from>
    <xdr:to>
      <xdr:col>1</xdr:col>
      <xdr:colOff>560068</xdr:colOff>
      <xdr:row>58</xdr:row>
      <xdr:rowOff>120971</xdr:rowOff>
    </xdr:to>
    <xdr:sp macro="" textlink="">
      <xdr:nvSpPr>
        <xdr:cNvPr id="40" name="Rectangle: Top Corners Rounded 39">
          <a:extLst>
            <a:ext uri="{FF2B5EF4-FFF2-40B4-BE49-F238E27FC236}">
              <a16:creationId xmlns:a16="http://schemas.microsoft.com/office/drawing/2014/main" id="{5457C8EB-8D20-4A35-9374-8F4AF2B9CE1E}"/>
            </a:ext>
          </a:extLst>
        </xdr:cNvPr>
        <xdr:cNvSpPr/>
      </xdr:nvSpPr>
      <xdr:spPr>
        <a:xfrm rot="16200000">
          <a:off x="-78108" y="9555483"/>
          <a:ext cx="1144909" cy="702943"/>
        </a:xfrm>
        <a:prstGeom prst="round2SameRect">
          <a:avLst>
            <a:gd name="adj1" fmla="val 44799"/>
            <a:gd name="adj2" fmla="val 0"/>
          </a:avLst>
        </a:prstGeom>
        <a:solidFill>
          <a:srgbClr val="0AA1AF"/>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651506</xdr:colOff>
      <xdr:row>53</xdr:row>
      <xdr:rowOff>20003</xdr:rowOff>
    </xdr:from>
    <xdr:to>
      <xdr:col>1</xdr:col>
      <xdr:colOff>1530187</xdr:colOff>
      <xdr:row>57</xdr:row>
      <xdr:rowOff>83343</xdr:rowOff>
    </xdr:to>
    <xdr:sp macro="" textlink="">
      <xdr:nvSpPr>
        <xdr:cNvPr id="41" name="TextBox 40">
          <a:extLst>
            <a:ext uri="{FF2B5EF4-FFF2-40B4-BE49-F238E27FC236}">
              <a16:creationId xmlns:a16="http://schemas.microsoft.com/office/drawing/2014/main" id="{E77867A3-7E72-4F4C-B625-764C32DA7931}"/>
            </a:ext>
          </a:extLst>
        </xdr:cNvPr>
        <xdr:cNvSpPr txBox="1"/>
      </xdr:nvSpPr>
      <xdr:spPr>
        <a:xfrm>
          <a:off x="937256" y="11961972"/>
          <a:ext cx="878681" cy="9682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SA" sz="2000" b="1">
              <a:latin typeface="Sakkal Majalla" panose="02000000000000000000" pitchFamily="2" charset="-78"/>
              <a:cs typeface="Sakkal Majalla" panose="02000000000000000000" pitchFamily="2" charset="-78"/>
            </a:rPr>
            <a:t>تغذيه</a:t>
          </a:r>
          <a:r>
            <a:rPr lang="ar-SA" sz="2000" b="1" baseline="0">
              <a:latin typeface="Sakkal Majalla" panose="02000000000000000000" pitchFamily="2" charset="-78"/>
              <a:cs typeface="Sakkal Majalla" panose="02000000000000000000" pitchFamily="2" charset="-78"/>
            </a:rPr>
            <a:t> المياه</a:t>
          </a:r>
          <a:endParaRPr lang="en-US" sz="2000" b="1">
            <a:latin typeface="Sakkal Majalla" panose="02000000000000000000" pitchFamily="2" charset="-78"/>
            <a:cs typeface="Sakkal Majalla" panose="02000000000000000000" pitchFamily="2" charset="-78"/>
          </a:endParaRPr>
        </a:p>
      </xdr:txBody>
    </xdr:sp>
    <xdr:clientData/>
  </xdr:twoCellAnchor>
  <xdr:twoCellAnchor>
    <xdr:from>
      <xdr:col>1</xdr:col>
      <xdr:colOff>654844</xdr:colOff>
      <xdr:row>25</xdr:row>
      <xdr:rowOff>11906</xdr:rowOff>
    </xdr:from>
    <xdr:to>
      <xdr:col>1</xdr:col>
      <xdr:colOff>1666402</xdr:colOff>
      <xdr:row>30</xdr:row>
      <xdr:rowOff>67151</xdr:rowOff>
    </xdr:to>
    <xdr:sp macro="" textlink="">
      <xdr:nvSpPr>
        <xdr:cNvPr id="42" name="TextBox 41">
          <a:extLst>
            <a:ext uri="{FF2B5EF4-FFF2-40B4-BE49-F238E27FC236}">
              <a16:creationId xmlns:a16="http://schemas.microsoft.com/office/drawing/2014/main" id="{0B61260F-D33C-474B-BB8C-5BF7954A16F1}"/>
            </a:ext>
          </a:extLst>
        </xdr:cNvPr>
        <xdr:cNvSpPr txBox="1"/>
      </xdr:nvSpPr>
      <xdr:spPr>
        <a:xfrm>
          <a:off x="940594" y="4476750"/>
          <a:ext cx="1011558" cy="9482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SA" sz="2000" b="1">
              <a:latin typeface="Sakkal Majalla" panose="02000000000000000000" pitchFamily="2" charset="-78"/>
              <a:cs typeface="Sakkal Majalla" panose="02000000000000000000" pitchFamily="2" charset="-78"/>
            </a:rPr>
            <a:t>العناصر</a:t>
          </a:r>
        </a:p>
        <a:p>
          <a:pPr algn="ctr"/>
          <a:r>
            <a:rPr lang="ar-SA" sz="2000" b="1">
              <a:latin typeface="Sakkal Majalla" panose="02000000000000000000" pitchFamily="2" charset="-78"/>
              <a:cs typeface="Sakkal Majalla" panose="02000000000000000000" pitchFamily="2" charset="-78"/>
            </a:rPr>
            <a:t>الانشائيه</a:t>
          </a:r>
          <a:endParaRPr lang="en-US" sz="2000" b="1">
            <a:latin typeface="Sakkal Majalla" panose="02000000000000000000" pitchFamily="2" charset="-78"/>
            <a:cs typeface="Sakkal Majalla" panose="02000000000000000000" pitchFamily="2" charset="-78"/>
          </a:endParaRPr>
        </a:p>
      </xdr:txBody>
    </xdr:sp>
    <xdr:clientData/>
  </xdr:twoCellAnchor>
  <xdr:twoCellAnchor editAs="oneCell">
    <xdr:from>
      <xdr:col>0</xdr:col>
      <xdr:colOff>188117</xdr:colOff>
      <xdr:row>4</xdr:row>
      <xdr:rowOff>380999</xdr:rowOff>
    </xdr:from>
    <xdr:to>
      <xdr:col>1</xdr:col>
      <xdr:colOff>511015</xdr:colOff>
      <xdr:row>6</xdr:row>
      <xdr:rowOff>229076</xdr:rowOff>
    </xdr:to>
    <xdr:pic>
      <xdr:nvPicPr>
        <xdr:cNvPr id="43" name="Picture 42">
          <a:extLst>
            <a:ext uri="{FF2B5EF4-FFF2-40B4-BE49-F238E27FC236}">
              <a16:creationId xmlns:a16="http://schemas.microsoft.com/office/drawing/2014/main" id="{84419A3E-BD39-7150-F166-D7B9948871C1}"/>
            </a:ext>
          </a:extLst>
        </xdr:cNvPr>
        <xdr:cNvPicPr>
          <a:picLocks noChangeAspect="1"/>
        </xdr:cNvPicPr>
      </xdr:nvPicPr>
      <xdr:blipFill>
        <a:blip xmlns:r="http://schemas.openxmlformats.org/officeDocument/2006/relationships" r:embed="rId1"/>
        <a:stretch>
          <a:fillRect/>
        </a:stretch>
      </xdr:blipFill>
      <xdr:spPr>
        <a:xfrm>
          <a:off x="188117" y="1654968"/>
          <a:ext cx="597218" cy="800577"/>
        </a:xfrm>
        <a:prstGeom prst="rect">
          <a:avLst/>
        </a:prstGeom>
      </xdr:spPr>
    </xdr:pic>
    <xdr:clientData/>
  </xdr:twoCellAnchor>
  <xdr:twoCellAnchor editAs="oneCell">
    <xdr:from>
      <xdr:col>0</xdr:col>
      <xdr:colOff>279558</xdr:colOff>
      <xdr:row>12</xdr:row>
      <xdr:rowOff>25486</xdr:rowOff>
    </xdr:from>
    <xdr:to>
      <xdr:col>1</xdr:col>
      <xdr:colOff>515303</xdr:colOff>
      <xdr:row>13</xdr:row>
      <xdr:rowOff>72864</xdr:rowOff>
    </xdr:to>
    <xdr:pic>
      <xdr:nvPicPr>
        <xdr:cNvPr id="44" name="Picture 43">
          <a:extLst>
            <a:ext uri="{FF2B5EF4-FFF2-40B4-BE49-F238E27FC236}">
              <a16:creationId xmlns:a16="http://schemas.microsoft.com/office/drawing/2014/main" id="{DF5C1786-4A31-9A8A-F951-CCD3480BEA28}"/>
            </a:ext>
          </a:extLst>
        </xdr:cNvPr>
        <xdr:cNvPicPr>
          <a:picLocks noChangeAspect="1"/>
        </xdr:cNvPicPr>
      </xdr:nvPicPr>
      <xdr:blipFill>
        <a:blip xmlns:r="http://schemas.openxmlformats.org/officeDocument/2006/relationships" r:embed="rId2"/>
        <a:stretch>
          <a:fillRect/>
        </a:stretch>
      </xdr:blipFill>
      <xdr:spPr>
        <a:xfrm>
          <a:off x="279558" y="2811549"/>
          <a:ext cx="508160" cy="514103"/>
        </a:xfrm>
        <a:prstGeom prst="rect">
          <a:avLst/>
        </a:prstGeom>
      </xdr:spPr>
    </xdr:pic>
    <xdr:clientData/>
  </xdr:twoCellAnchor>
  <xdr:twoCellAnchor editAs="oneCell">
    <xdr:from>
      <xdr:col>1</xdr:col>
      <xdr:colOff>10847</xdr:colOff>
      <xdr:row>19</xdr:row>
      <xdr:rowOff>194310</xdr:rowOff>
    </xdr:from>
    <xdr:to>
      <xdr:col>1</xdr:col>
      <xdr:colOff>495899</xdr:colOff>
      <xdr:row>20</xdr:row>
      <xdr:rowOff>208843</xdr:rowOff>
    </xdr:to>
    <xdr:pic>
      <xdr:nvPicPr>
        <xdr:cNvPr id="45" name="Picture 44">
          <a:extLst>
            <a:ext uri="{FF2B5EF4-FFF2-40B4-BE49-F238E27FC236}">
              <a16:creationId xmlns:a16="http://schemas.microsoft.com/office/drawing/2014/main" id="{00A74E5F-14DD-4305-446C-D17FF5600B10}"/>
            </a:ext>
          </a:extLst>
        </xdr:cNvPr>
        <xdr:cNvPicPr>
          <a:picLocks noChangeAspect="1"/>
        </xdr:cNvPicPr>
      </xdr:nvPicPr>
      <xdr:blipFill>
        <a:blip xmlns:r="http://schemas.openxmlformats.org/officeDocument/2006/relationships" r:embed="rId3"/>
        <a:stretch>
          <a:fillRect/>
        </a:stretch>
      </xdr:blipFill>
      <xdr:spPr>
        <a:xfrm>
          <a:off x="296597" y="4563904"/>
          <a:ext cx="485052" cy="492688"/>
        </a:xfrm>
        <a:prstGeom prst="rect">
          <a:avLst/>
        </a:prstGeom>
      </xdr:spPr>
    </xdr:pic>
    <xdr:clientData/>
  </xdr:twoCellAnchor>
  <xdr:twoCellAnchor editAs="oneCell">
    <xdr:from>
      <xdr:col>1</xdr:col>
      <xdr:colOff>3812</xdr:colOff>
      <xdr:row>26</xdr:row>
      <xdr:rowOff>11906</xdr:rowOff>
    </xdr:from>
    <xdr:to>
      <xdr:col>1</xdr:col>
      <xdr:colOff>511970</xdr:colOff>
      <xdr:row>27</xdr:row>
      <xdr:rowOff>148590</xdr:rowOff>
    </xdr:to>
    <xdr:pic>
      <xdr:nvPicPr>
        <xdr:cNvPr id="47" name="Picture 46">
          <a:extLst>
            <a:ext uri="{FF2B5EF4-FFF2-40B4-BE49-F238E27FC236}">
              <a16:creationId xmlns:a16="http://schemas.microsoft.com/office/drawing/2014/main" id="{FB38D222-F2F9-628D-333C-2CD794DE3B02}"/>
            </a:ext>
          </a:extLst>
        </xdr:cNvPr>
        <xdr:cNvPicPr>
          <a:picLocks noChangeAspect="1"/>
        </xdr:cNvPicPr>
      </xdr:nvPicPr>
      <xdr:blipFill>
        <a:blip xmlns:r="http://schemas.openxmlformats.org/officeDocument/2006/relationships" r:embed="rId4"/>
        <a:stretch>
          <a:fillRect/>
        </a:stretch>
      </xdr:blipFill>
      <xdr:spPr>
        <a:xfrm>
          <a:off x="289562" y="5965031"/>
          <a:ext cx="500538" cy="607219"/>
        </a:xfrm>
        <a:prstGeom prst="rect">
          <a:avLst/>
        </a:prstGeom>
      </xdr:spPr>
    </xdr:pic>
    <xdr:clientData/>
  </xdr:twoCellAnchor>
  <xdr:twoCellAnchor editAs="oneCell">
    <xdr:from>
      <xdr:col>0</xdr:col>
      <xdr:colOff>238126</xdr:colOff>
      <xdr:row>33</xdr:row>
      <xdr:rowOff>28099</xdr:rowOff>
    </xdr:from>
    <xdr:to>
      <xdr:col>1</xdr:col>
      <xdr:colOff>573542</xdr:colOff>
      <xdr:row>34</xdr:row>
      <xdr:rowOff>174784</xdr:rowOff>
    </xdr:to>
    <xdr:pic>
      <xdr:nvPicPr>
        <xdr:cNvPr id="48" name="Picture 47">
          <a:extLst>
            <a:ext uri="{FF2B5EF4-FFF2-40B4-BE49-F238E27FC236}">
              <a16:creationId xmlns:a16="http://schemas.microsoft.com/office/drawing/2014/main" id="{1439AE8D-AAD5-03CF-7BB4-A63244164EEB}"/>
            </a:ext>
          </a:extLst>
        </xdr:cNvPr>
        <xdr:cNvPicPr>
          <a:picLocks noChangeAspect="1"/>
        </xdr:cNvPicPr>
      </xdr:nvPicPr>
      <xdr:blipFill>
        <a:blip xmlns:r="http://schemas.openxmlformats.org/officeDocument/2006/relationships" r:embed="rId5"/>
        <a:stretch>
          <a:fillRect/>
        </a:stretch>
      </xdr:blipFill>
      <xdr:spPr>
        <a:xfrm>
          <a:off x="238126" y="7564755"/>
          <a:ext cx="621166" cy="626745"/>
        </a:xfrm>
        <a:prstGeom prst="rect">
          <a:avLst/>
        </a:prstGeom>
      </xdr:spPr>
    </xdr:pic>
    <xdr:clientData/>
  </xdr:twoCellAnchor>
  <xdr:twoCellAnchor editAs="oneCell">
    <xdr:from>
      <xdr:col>0</xdr:col>
      <xdr:colOff>230029</xdr:colOff>
      <xdr:row>40</xdr:row>
      <xdr:rowOff>125161</xdr:rowOff>
    </xdr:from>
    <xdr:to>
      <xdr:col>1</xdr:col>
      <xdr:colOff>574171</xdr:colOff>
      <xdr:row>41</xdr:row>
      <xdr:rowOff>284321</xdr:rowOff>
    </xdr:to>
    <xdr:pic>
      <xdr:nvPicPr>
        <xdr:cNvPr id="49" name="Picture 48">
          <a:extLst>
            <a:ext uri="{FF2B5EF4-FFF2-40B4-BE49-F238E27FC236}">
              <a16:creationId xmlns:a16="http://schemas.microsoft.com/office/drawing/2014/main" id="{550C4050-689B-2823-995B-99BBB3A7B012}"/>
            </a:ext>
          </a:extLst>
        </xdr:cNvPr>
        <xdr:cNvPicPr>
          <a:picLocks noChangeAspect="1"/>
        </xdr:cNvPicPr>
      </xdr:nvPicPr>
      <xdr:blipFill>
        <a:blip xmlns:r="http://schemas.openxmlformats.org/officeDocument/2006/relationships" r:embed="rId6"/>
        <a:stretch>
          <a:fillRect/>
        </a:stretch>
      </xdr:blipFill>
      <xdr:spPr>
        <a:xfrm>
          <a:off x="230029" y="18544130"/>
          <a:ext cx="629892" cy="639220"/>
        </a:xfrm>
        <a:prstGeom prst="rect">
          <a:avLst/>
        </a:prstGeom>
      </xdr:spPr>
    </xdr:pic>
    <xdr:clientData/>
  </xdr:twoCellAnchor>
  <xdr:twoCellAnchor editAs="oneCell">
    <xdr:from>
      <xdr:col>1</xdr:col>
      <xdr:colOff>11906</xdr:colOff>
      <xdr:row>47</xdr:row>
      <xdr:rowOff>187933</xdr:rowOff>
    </xdr:from>
    <xdr:to>
      <xdr:col>1</xdr:col>
      <xdr:colOff>479107</xdr:colOff>
      <xdr:row>48</xdr:row>
      <xdr:rowOff>172787</xdr:rowOff>
    </xdr:to>
    <xdr:pic>
      <xdr:nvPicPr>
        <xdr:cNvPr id="50" name="Picture 49">
          <a:extLst>
            <a:ext uri="{FF2B5EF4-FFF2-40B4-BE49-F238E27FC236}">
              <a16:creationId xmlns:a16="http://schemas.microsoft.com/office/drawing/2014/main" id="{97EA2DEA-DF49-DC7F-2A14-DF76CE9AD00A}"/>
            </a:ext>
          </a:extLst>
        </xdr:cNvPr>
        <xdr:cNvPicPr>
          <a:picLocks noChangeAspect="1"/>
        </xdr:cNvPicPr>
      </xdr:nvPicPr>
      <xdr:blipFill>
        <a:blip xmlns:r="http://schemas.openxmlformats.org/officeDocument/2006/relationships" r:embed="rId7"/>
        <a:stretch>
          <a:fillRect/>
        </a:stretch>
      </xdr:blipFill>
      <xdr:spPr>
        <a:xfrm>
          <a:off x="297656" y="21940652"/>
          <a:ext cx="474821" cy="457294"/>
        </a:xfrm>
        <a:prstGeom prst="rect">
          <a:avLst/>
        </a:prstGeom>
      </xdr:spPr>
    </xdr:pic>
    <xdr:clientData/>
  </xdr:twoCellAnchor>
  <xdr:twoCellAnchor editAs="oneCell">
    <xdr:from>
      <xdr:col>0</xdr:col>
      <xdr:colOff>245746</xdr:colOff>
      <xdr:row>54</xdr:row>
      <xdr:rowOff>234314</xdr:rowOff>
    </xdr:from>
    <xdr:to>
      <xdr:col>1</xdr:col>
      <xdr:colOff>511067</xdr:colOff>
      <xdr:row>55</xdr:row>
      <xdr:rowOff>306228</xdr:rowOff>
    </xdr:to>
    <xdr:pic>
      <xdr:nvPicPr>
        <xdr:cNvPr id="51" name="Picture 50">
          <a:extLst>
            <a:ext uri="{FF2B5EF4-FFF2-40B4-BE49-F238E27FC236}">
              <a16:creationId xmlns:a16="http://schemas.microsoft.com/office/drawing/2014/main" id="{2A3E7EF0-0FCB-354D-02DA-36DAF6FD901E}"/>
            </a:ext>
          </a:extLst>
        </xdr:cNvPr>
        <xdr:cNvPicPr>
          <a:picLocks noChangeAspect="1"/>
        </xdr:cNvPicPr>
      </xdr:nvPicPr>
      <xdr:blipFill>
        <a:blip xmlns:r="http://schemas.openxmlformats.org/officeDocument/2006/relationships" r:embed="rId8"/>
        <a:stretch>
          <a:fillRect/>
        </a:stretch>
      </xdr:blipFill>
      <xdr:spPr>
        <a:xfrm>
          <a:off x="245746" y="25320783"/>
          <a:ext cx="554881" cy="548164"/>
        </a:xfrm>
        <a:prstGeom prst="rect">
          <a:avLst/>
        </a:prstGeom>
      </xdr:spPr>
    </xdr:pic>
    <xdr:clientData/>
  </xdr:twoCellAnchor>
  <xdr:twoCellAnchor>
    <xdr:from>
      <xdr:col>7</xdr:col>
      <xdr:colOff>401001</xdr:colOff>
      <xdr:row>0</xdr:row>
      <xdr:rowOff>91440</xdr:rowOff>
    </xdr:from>
    <xdr:to>
      <xdr:col>9</xdr:col>
      <xdr:colOff>535781</xdr:colOff>
      <xdr:row>1</xdr:row>
      <xdr:rowOff>246221</xdr:rowOff>
    </xdr:to>
    <xdr:sp macro="" textlink="">
      <xdr:nvSpPr>
        <xdr:cNvPr id="52" name="TextBox 51">
          <a:extLst>
            <a:ext uri="{FF2B5EF4-FFF2-40B4-BE49-F238E27FC236}">
              <a16:creationId xmlns:a16="http://schemas.microsoft.com/office/drawing/2014/main" id="{307D01E9-792E-01F5-83A3-E39A563277D5}"/>
            </a:ext>
          </a:extLst>
        </xdr:cNvPr>
        <xdr:cNvSpPr txBox="1"/>
      </xdr:nvSpPr>
      <xdr:spPr>
        <a:xfrm>
          <a:off x="10783251" y="91440"/>
          <a:ext cx="4135280" cy="464344"/>
        </a:xfrm>
        <a:prstGeom prst="rect">
          <a:avLst/>
        </a:prstGeom>
        <a:solidFill>
          <a:srgbClr val="2DABB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SA" sz="2400" b="1">
              <a:solidFill>
                <a:schemeClr val="bg1"/>
              </a:solidFill>
              <a:latin typeface="Sakkal Majalla" panose="02000000000000000000" pitchFamily="2" charset="-78"/>
              <a:cs typeface="Sakkal Majalla" panose="02000000000000000000" pitchFamily="2" charset="-78"/>
            </a:rPr>
            <a:t>تحليل</a:t>
          </a:r>
          <a:r>
            <a:rPr lang="ar-SA" sz="2400" b="1" baseline="0">
              <a:solidFill>
                <a:schemeClr val="bg1"/>
              </a:solidFill>
              <a:latin typeface="Sakkal Majalla" panose="02000000000000000000" pitchFamily="2" charset="-78"/>
              <a:cs typeface="Sakkal Majalla" panose="02000000000000000000" pitchFamily="2" charset="-78"/>
            </a:rPr>
            <a:t>  حالات عناصر المبني</a:t>
          </a:r>
          <a:endParaRPr lang="en-US" sz="2400" b="1">
            <a:solidFill>
              <a:schemeClr val="bg1"/>
            </a:solidFill>
            <a:latin typeface="Sakkal Majalla" panose="02000000000000000000" pitchFamily="2" charset="-78"/>
            <a:cs typeface="Sakkal Majalla" panose="02000000000000000000" pitchFamily="2" charset="-78"/>
          </a:endParaRPr>
        </a:p>
      </xdr:txBody>
    </xdr:sp>
    <xdr:clientData/>
  </xdr:twoCellAnchor>
  <xdr:twoCellAnchor>
    <xdr:from>
      <xdr:col>7</xdr:col>
      <xdr:colOff>428625</xdr:colOff>
      <xdr:row>0</xdr:row>
      <xdr:rowOff>35719</xdr:rowOff>
    </xdr:from>
    <xdr:to>
      <xdr:col>7</xdr:col>
      <xdr:colOff>1045845</xdr:colOff>
      <xdr:row>1</xdr:row>
      <xdr:rowOff>281940</xdr:rowOff>
    </xdr:to>
    <xdr:pic>
      <xdr:nvPicPr>
        <xdr:cNvPr id="53" name="Graphic 52" descr="Pie chart with solid fill">
          <a:extLst>
            <a:ext uri="{FF2B5EF4-FFF2-40B4-BE49-F238E27FC236}">
              <a16:creationId xmlns:a16="http://schemas.microsoft.com/office/drawing/2014/main" id="{1DED960B-1E8F-4EE6-B413-DCF38BEDA2D5}"/>
            </a:ext>
          </a:extLst>
        </xdr:cNvPr>
        <xdr:cNvPicPr>
          <a:picLocks/>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0810875" y="35719"/>
          <a:ext cx="617220" cy="555784"/>
        </a:xfrm>
        <a:prstGeom prst="rect">
          <a:avLst/>
        </a:prstGeom>
      </xdr:spPr>
    </xdr:pic>
    <xdr:clientData/>
  </xdr:twoCellAnchor>
  <xdr:twoCellAnchor editAs="oneCell">
    <xdr:from>
      <xdr:col>0</xdr:col>
      <xdr:colOff>97155</xdr:colOff>
      <xdr:row>0</xdr:row>
      <xdr:rowOff>0</xdr:rowOff>
    </xdr:from>
    <xdr:to>
      <xdr:col>1</xdr:col>
      <xdr:colOff>1012507</xdr:colOff>
      <xdr:row>1</xdr:row>
      <xdr:rowOff>285485</xdr:rowOff>
    </xdr:to>
    <xdr:pic>
      <xdr:nvPicPr>
        <xdr:cNvPr id="54" name="Picture 53">
          <a:extLst>
            <a:ext uri="{FF2B5EF4-FFF2-40B4-BE49-F238E27FC236}">
              <a16:creationId xmlns:a16="http://schemas.microsoft.com/office/drawing/2014/main" id="{58DDF7E8-0E91-4FD6-A20C-4FD71B646618}"/>
            </a:ext>
          </a:extLst>
        </xdr:cNvPr>
        <xdr:cNvPicPr>
          <a:picLocks noChangeAspect="1"/>
        </xdr:cNvPicPr>
      </xdr:nvPicPr>
      <xdr:blipFill>
        <a:blip xmlns:r="http://schemas.openxmlformats.org/officeDocument/2006/relationships" r:embed="rId11"/>
        <a:stretch>
          <a:fillRect/>
        </a:stretch>
      </xdr:blipFill>
      <xdr:spPr>
        <a:xfrm>
          <a:off x="97155" y="0"/>
          <a:ext cx="1208722" cy="598858"/>
        </a:xfrm>
        <a:prstGeom prst="rect">
          <a:avLst/>
        </a:prstGeom>
      </xdr:spPr>
    </xdr:pic>
    <xdr:clientData/>
  </xdr:twoCellAnchor>
  <xdr:twoCellAnchor>
    <xdr:from>
      <xdr:col>21</xdr:col>
      <xdr:colOff>2379345</xdr:colOff>
      <xdr:row>54</xdr:row>
      <xdr:rowOff>128587</xdr:rowOff>
    </xdr:from>
    <xdr:to>
      <xdr:col>22</xdr:col>
      <xdr:colOff>10001</xdr:colOff>
      <xdr:row>57</xdr:row>
      <xdr:rowOff>329564</xdr:rowOff>
    </xdr:to>
    <xdr:sp macro="" textlink="">
      <xdr:nvSpPr>
        <xdr:cNvPr id="55" name="Arrow: Down 54">
          <a:extLst>
            <a:ext uri="{FF2B5EF4-FFF2-40B4-BE49-F238E27FC236}">
              <a16:creationId xmlns:a16="http://schemas.microsoft.com/office/drawing/2014/main" id="{512DD08F-783E-3F68-A005-026AA49368C4}"/>
            </a:ext>
          </a:extLst>
        </xdr:cNvPr>
        <xdr:cNvSpPr/>
      </xdr:nvSpPr>
      <xdr:spPr>
        <a:xfrm>
          <a:off x="37764720" y="25215056"/>
          <a:ext cx="333375" cy="1629727"/>
        </a:xfrm>
        <a:prstGeom prst="downArrow">
          <a:avLst/>
        </a:prstGeom>
        <a:solidFill>
          <a:srgbClr val="2DABB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2131219</xdr:colOff>
      <xdr:row>53</xdr:row>
      <xdr:rowOff>83343</xdr:rowOff>
    </xdr:from>
    <xdr:to>
      <xdr:col>25</xdr:col>
      <xdr:colOff>19526</xdr:colOff>
      <xdr:row>58</xdr:row>
      <xdr:rowOff>129063</xdr:rowOff>
    </xdr:to>
    <xdr:sp macro="" textlink="">
      <xdr:nvSpPr>
        <xdr:cNvPr id="56" name="Rectangle: Rounded Corners 55">
          <a:extLst>
            <a:ext uri="{FF2B5EF4-FFF2-40B4-BE49-F238E27FC236}">
              <a16:creationId xmlns:a16="http://schemas.microsoft.com/office/drawing/2014/main" id="{F6339AFC-3241-7B65-F80C-9B94B3FC3AD9}"/>
            </a:ext>
          </a:extLst>
        </xdr:cNvPr>
        <xdr:cNvSpPr/>
      </xdr:nvSpPr>
      <xdr:spPr>
        <a:xfrm>
          <a:off x="37516594" y="24693562"/>
          <a:ext cx="3472338" cy="2426970"/>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workbookViewId="0">
      <selection activeCell="H9" sqref="H9"/>
    </sheetView>
  </sheetViews>
  <sheetFormatPr defaultRowHeight="14.4"/>
  <cols>
    <col min="1" max="4" width="22.88671875" customWidth="1"/>
    <col min="5" max="5" width="46.6640625" customWidth="1"/>
  </cols>
  <sheetData>
    <row r="1" spans="1:5" ht="48.75" customHeight="1">
      <c r="A1" s="160" t="s">
        <v>2</v>
      </c>
      <c r="B1" s="160"/>
      <c r="C1" s="160"/>
      <c r="D1" s="160"/>
      <c r="E1" s="160"/>
    </row>
    <row r="2" spans="1:5">
      <c r="A2" s="161"/>
      <c r="B2" s="161"/>
      <c r="C2" s="161"/>
      <c r="D2" s="161"/>
      <c r="E2" s="161"/>
    </row>
    <row r="3" spans="1:5">
      <c r="A3" s="161"/>
      <c r="B3" s="161"/>
      <c r="C3" s="161"/>
      <c r="D3" s="161"/>
      <c r="E3" s="161"/>
    </row>
    <row r="4" spans="1:5">
      <c r="A4" s="161"/>
      <c r="B4" s="161"/>
      <c r="C4" s="161"/>
      <c r="D4" s="161"/>
      <c r="E4" s="161"/>
    </row>
    <row r="5" spans="1:5">
      <c r="A5" s="161"/>
      <c r="B5" s="161"/>
      <c r="C5" s="161"/>
      <c r="D5" s="161"/>
      <c r="E5" s="161"/>
    </row>
    <row r="6" spans="1:5">
      <c r="A6" s="161"/>
      <c r="B6" s="161"/>
      <c r="C6" s="161"/>
      <c r="D6" s="161"/>
      <c r="E6" s="161"/>
    </row>
    <row r="7" spans="1:5" ht="49.5" customHeight="1">
      <c r="A7" s="161"/>
      <c r="B7" s="161"/>
      <c r="C7" s="161"/>
      <c r="D7" s="161"/>
      <c r="E7" s="161"/>
    </row>
    <row r="8" spans="1:5" ht="21.75" customHeight="1">
      <c r="A8" s="161"/>
      <c r="B8" s="161"/>
      <c r="C8" s="161"/>
      <c r="D8" s="161"/>
      <c r="E8" s="161"/>
    </row>
    <row r="9" spans="1:5" ht="21.75" customHeight="1">
      <c r="A9" s="158" t="e">
        <f>#REF!</f>
        <v>#REF!</v>
      </c>
      <c r="B9" s="159"/>
      <c r="C9" s="158" t="e">
        <f>#REF!</f>
        <v>#REF!</v>
      </c>
      <c r="D9" s="159"/>
      <c r="E9" s="4" t="e">
        <f>#REF!</f>
        <v>#REF!</v>
      </c>
    </row>
    <row r="10" spans="1:5">
      <c r="A10" s="161"/>
      <c r="B10" s="161"/>
      <c r="C10" s="161"/>
      <c r="D10" s="161"/>
      <c r="E10" s="161"/>
    </row>
    <row r="11" spans="1:5">
      <c r="A11" s="161"/>
      <c r="B11" s="161"/>
      <c r="C11" s="161"/>
      <c r="D11" s="161"/>
      <c r="E11" s="161"/>
    </row>
    <row r="12" spans="1:5">
      <c r="A12" s="161"/>
      <c r="B12" s="161"/>
      <c r="C12" s="161"/>
      <c r="D12" s="161"/>
      <c r="E12" s="161"/>
    </row>
    <row r="13" spans="1:5" ht="39.75" customHeight="1">
      <c r="A13" s="161"/>
      <c r="B13" s="161"/>
      <c r="C13" s="161"/>
      <c r="D13" s="161"/>
      <c r="E13" s="161"/>
    </row>
    <row r="14" spans="1:5">
      <c r="A14" s="161"/>
      <c r="B14" s="161"/>
      <c r="C14" s="161"/>
      <c r="D14" s="161"/>
      <c r="E14" s="161"/>
    </row>
    <row r="15" spans="1:5">
      <c r="A15" s="161"/>
      <c r="B15" s="161"/>
      <c r="C15" s="161"/>
      <c r="D15" s="161"/>
      <c r="E15" s="161"/>
    </row>
    <row r="16" spans="1:5">
      <c r="A16" s="161"/>
      <c r="B16" s="161"/>
      <c r="C16" s="161"/>
      <c r="D16" s="161"/>
      <c r="E16" s="161"/>
    </row>
    <row r="17" spans="1:5" ht="26.4">
      <c r="A17" s="158"/>
      <c r="B17" s="159"/>
      <c r="C17" s="158"/>
      <c r="D17" s="159"/>
      <c r="E17" s="4"/>
    </row>
  </sheetData>
  <mergeCells count="11">
    <mergeCell ref="A17:B17"/>
    <mergeCell ref="C17:D17"/>
    <mergeCell ref="A1:E1"/>
    <mergeCell ref="A9:B9"/>
    <mergeCell ref="C9:D9"/>
    <mergeCell ref="A2:B8"/>
    <mergeCell ref="C2:D8"/>
    <mergeCell ref="E2:E8"/>
    <mergeCell ref="A10:B16"/>
    <mergeCell ref="C10:D16"/>
    <mergeCell ref="E10:E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92"/>
  <sheetViews>
    <sheetView showGridLines="0" rightToLeft="1" zoomScale="90" zoomScaleNormal="90" zoomScaleSheetLayoutView="85" workbookViewId="0">
      <selection activeCell="F82" sqref="F82"/>
    </sheetView>
  </sheetViews>
  <sheetFormatPr defaultColWidth="12" defaultRowHeight="30" customHeight="1"/>
  <cols>
    <col min="1" max="1" width="4.33203125" style="1" customWidth="1"/>
    <col min="2" max="2" width="7.88671875" style="1" customWidth="1"/>
    <col min="3" max="3" width="12.88671875" style="1" customWidth="1"/>
    <col min="4" max="4" width="9.109375" style="1" customWidth="1"/>
    <col min="5" max="5" width="10.88671875" style="3" customWidth="1"/>
    <col min="6" max="6" width="84.33203125" style="44" customWidth="1"/>
    <col min="7" max="7" width="4.88671875" style="44" customWidth="1"/>
    <col min="8" max="8" width="19.109375" style="1" customWidth="1"/>
    <col min="9" max="9" width="12.6640625" style="1" customWidth="1"/>
    <col min="10" max="10" width="24.44140625" style="1" customWidth="1"/>
    <col min="11" max="11" width="20.44140625" style="1" customWidth="1"/>
    <col min="12" max="16384" width="12" style="1"/>
  </cols>
  <sheetData>
    <row r="1" spans="2:11" ht="72" customHeight="1"/>
    <row r="2" spans="2:11" ht="27.6" customHeight="1">
      <c r="B2" s="86" t="s">
        <v>76</v>
      </c>
      <c r="C2" s="124"/>
      <c r="D2" s="124"/>
      <c r="E2" s="124"/>
      <c r="F2" s="124"/>
      <c r="G2" s="124"/>
      <c r="H2" s="124"/>
      <c r="I2" s="124"/>
      <c r="J2" s="124"/>
      <c r="K2" s="125"/>
    </row>
    <row r="3" spans="2:11" ht="27.6" customHeight="1">
      <c r="B3" s="126"/>
      <c r="C3" s="127"/>
      <c r="D3" s="127"/>
      <c r="E3" s="127"/>
      <c r="F3" s="127"/>
      <c r="G3" s="127"/>
      <c r="H3" s="127"/>
      <c r="I3" s="127"/>
      <c r="J3" s="127"/>
      <c r="K3" s="128"/>
    </row>
    <row r="4" spans="2:11" ht="54" customHeight="1">
      <c r="B4" s="134" t="s">
        <v>64</v>
      </c>
      <c r="C4" s="135"/>
      <c r="D4" s="148"/>
      <c r="E4" s="149"/>
      <c r="F4" s="149"/>
      <c r="G4" s="150"/>
      <c r="H4" s="53" t="s">
        <v>72</v>
      </c>
      <c r="I4" s="23"/>
      <c r="J4" s="15"/>
      <c r="K4" s="16"/>
    </row>
    <row r="5" spans="2:11" ht="78.599999999999994" customHeight="1">
      <c r="B5" s="133" t="s">
        <v>0</v>
      </c>
      <c r="C5" s="130"/>
      <c r="D5" s="151"/>
      <c r="E5" s="152"/>
      <c r="F5" s="152"/>
      <c r="G5" s="153"/>
      <c r="H5" s="21" t="s">
        <v>73</v>
      </c>
      <c r="I5" s="22"/>
      <c r="J5" s="136" t="s">
        <v>77</v>
      </c>
      <c r="K5" s="54" t="s">
        <v>78</v>
      </c>
    </row>
    <row r="6" spans="2:11" ht="63.6" customHeight="1">
      <c r="B6" s="131" t="s">
        <v>65</v>
      </c>
      <c r="C6" s="132"/>
      <c r="D6" s="151"/>
      <c r="E6" s="152"/>
      <c r="F6" s="152"/>
      <c r="G6" s="153"/>
      <c r="H6" s="20" t="s">
        <v>0</v>
      </c>
      <c r="I6" s="22"/>
      <c r="J6" s="137"/>
      <c r="K6" s="54" t="s">
        <v>4</v>
      </c>
    </row>
    <row r="7" spans="2:11" ht="54.6" customHeight="1">
      <c r="B7" s="129" t="s">
        <v>66</v>
      </c>
      <c r="C7" s="130"/>
      <c r="D7" s="151"/>
      <c r="E7" s="152"/>
      <c r="F7" s="152"/>
      <c r="G7" s="154"/>
      <c r="H7" s="19" t="s">
        <v>74</v>
      </c>
      <c r="I7" s="22"/>
      <c r="J7" s="137"/>
      <c r="K7" s="54" t="s">
        <v>5</v>
      </c>
    </row>
    <row r="8" spans="2:11" ht="63" customHeight="1">
      <c r="B8" s="133" t="s">
        <v>67</v>
      </c>
      <c r="C8" s="130"/>
      <c r="D8" s="151"/>
      <c r="E8" s="152"/>
      <c r="F8" s="152"/>
      <c r="G8" s="153"/>
      <c r="H8" s="21" t="s">
        <v>75</v>
      </c>
      <c r="I8" s="22"/>
      <c r="J8" s="138"/>
      <c r="K8" s="54" t="s">
        <v>79</v>
      </c>
    </row>
    <row r="9" spans="2:11" ht="54.6" customHeight="1">
      <c r="B9" s="129" t="s">
        <v>68</v>
      </c>
      <c r="C9" s="130"/>
      <c r="D9" s="151"/>
      <c r="E9" s="152"/>
      <c r="F9" s="152"/>
      <c r="G9" s="154"/>
      <c r="H9" s="19"/>
      <c r="I9" s="22"/>
      <c r="J9" s="13"/>
      <c r="K9" s="8"/>
    </row>
    <row r="10" spans="2:11" ht="34.5" customHeight="1">
      <c r="B10" s="129" t="s">
        <v>69</v>
      </c>
      <c r="C10" s="130"/>
      <c r="D10" s="12" t="inlineStr">
        <is>
          <t xml:space="preserve">بنات   □</t>
        </is>
      </c>
      <c r="E10" s="12" t="inlineStr">
        <is>
          <t xml:space="preserve">بنين   □</t>
        </is>
      </c>
      <c r="F10" s="45"/>
      <c r="G10" s="55"/>
      <c r="H10" s="10"/>
      <c r="I10" s="10"/>
      <c r="J10" s="10"/>
      <c r="K10" s="11"/>
    </row>
    <row r="11" spans="2:11" ht="15" customHeight="1">
      <c r="B11" s="157"/>
      <c r="C11" s="157"/>
      <c r="D11" s="157"/>
      <c r="E11" s="157"/>
      <c r="F11" s="157"/>
      <c r="G11" s="157"/>
      <c r="H11" s="157"/>
      <c r="I11" s="157"/>
      <c r="J11" s="157"/>
      <c r="K11" s="157"/>
    </row>
    <row r="12" spans="2:11" ht="29.7" customHeight="1" thickBot="1">
      <c r="B12" s="5"/>
      <c r="C12" s="5"/>
      <c r="D12" s="5"/>
      <c r="E12" s="5"/>
      <c r="F12" s="5"/>
      <c r="G12" s="5"/>
      <c r="H12" s="5"/>
      <c r="I12" s="5"/>
      <c r="J12" s="5"/>
      <c r="K12" s="5"/>
    </row>
    <row r="13" spans="2:11" ht="27.6" customHeight="1">
      <c r="B13" s="80" t="s">
        <v>15</v>
      </c>
      <c r="C13" s="81"/>
      <c r="D13" s="81"/>
      <c r="E13" s="81"/>
      <c r="F13" s="81"/>
      <c r="G13" s="81"/>
      <c r="H13" s="81"/>
      <c r="I13" s="82"/>
      <c r="J13" s="82"/>
      <c r="K13" s="83"/>
    </row>
    <row r="14" spans="2:11" ht="27.6" customHeight="1" thickBot="1">
      <c r="B14" s="84"/>
      <c r="C14" s="85"/>
      <c r="D14" s="85"/>
      <c r="E14" s="85"/>
      <c r="F14" s="85"/>
      <c r="G14" s="85"/>
      <c r="H14" s="85"/>
      <c r="I14" s="86"/>
      <c r="J14" s="86"/>
      <c r="K14" s="87"/>
    </row>
    <row r="15" spans="2:11" ht="13.95" customHeight="1">
      <c r="B15" s="142" t="s">
        <v>202</v>
      </c>
      <c r="C15" s="143"/>
      <c r="D15" s="143"/>
      <c r="E15" s="143"/>
      <c r="F15" s="144"/>
      <c r="G15" s="51"/>
      <c r="H15" s="142"/>
      <c r="I15" s="143"/>
      <c r="J15" s="143"/>
      <c r="K15" s="144"/>
    </row>
    <row r="16" spans="2:11" ht="13.95" customHeight="1" thickBot="1">
      <c r="B16" s="145"/>
      <c r="C16" s="146"/>
      <c r="D16" s="146"/>
      <c r="E16" s="146"/>
      <c r="F16" s="147"/>
      <c r="G16" s="52"/>
      <c r="H16" s="145"/>
      <c r="I16" s="146"/>
      <c r="J16" s="146"/>
      <c r="K16" s="147"/>
    </row>
    <row r="17" spans="2:13" ht="19.95" customHeight="1">
      <c r="E17" s="1"/>
      <c r="I17" s="9"/>
      <c r="J17" s="9"/>
    </row>
    <row r="18" spans="2:13" ht="57" customHeight="1">
      <c r="B18" s="6" t="s">
        <v>56</v>
      </c>
      <c r="C18" s="88" t="s">
        <v>16</v>
      </c>
      <c r="D18" s="89"/>
      <c r="E18" s="90"/>
      <c r="F18" s="46" t="s">
        <v>57</v>
      </c>
      <c r="G18" s="46"/>
      <c r="H18" s="6" t="s">
        <v>194</v>
      </c>
      <c r="I18" s="88" t="s">
        <v>58</v>
      </c>
      <c r="J18" s="89"/>
      <c r="K18" s="90"/>
    </row>
    <row r="19" spans="2:13" ht="45" customHeight="1" thickBot="1">
      <c r="B19" s="97" t="s">
        <v>14</v>
      </c>
      <c r="C19" s="98"/>
      <c r="D19" s="98"/>
      <c r="E19" s="98"/>
      <c r="F19" s="98"/>
      <c r="G19" s="98"/>
      <c r="H19" s="99"/>
      <c r="I19" s="96"/>
      <c r="J19" s="96"/>
      <c r="K19" s="96"/>
      <c r="M19" s="9"/>
    </row>
    <row r="20" spans="2:13" ht="40.200000000000003" customHeight="1" thickBot="1">
      <c r="B20" s="62">
        <v>1.1000000000000001</v>
      </c>
      <c r="C20" s="100" t="s">
        <v>179</v>
      </c>
      <c r="D20" s="101"/>
      <c r="E20" s="102"/>
      <c r="F20" s="63"/>
      <c r="G20" s="64"/>
      <c r="H20" s="112"/>
      <c r="I20" s="91"/>
      <c r="J20" s="92"/>
      <c r="K20" s="93"/>
    </row>
    <row r="21" spans="2:13" ht="40.200000000000003" customHeight="1">
      <c r="B21" s="65">
        <v>1.2</v>
      </c>
      <c r="C21" s="103" t="s">
        <v>7</v>
      </c>
      <c r="D21" s="104"/>
      <c r="E21" s="105"/>
      <c r="F21" s="2"/>
      <c r="G21" s="57"/>
      <c r="H21" s="113"/>
      <c r="I21" s="109"/>
      <c r="J21" s="110"/>
      <c r="K21" s="111"/>
      <c r="L21" s="63"/>
    </row>
    <row r="22" spans="2:13" ht="40.200000000000003" customHeight="1">
      <c r="B22" s="65">
        <v>1.3</v>
      </c>
      <c r="C22" s="103" t="s">
        <v>8</v>
      </c>
      <c r="D22" s="104"/>
      <c r="E22" s="105"/>
      <c r="F22" s="2"/>
      <c r="G22" s="57"/>
      <c r="H22" s="113"/>
      <c r="I22" s="109"/>
      <c r="J22" s="110"/>
      <c r="K22" s="111"/>
    </row>
    <row r="23" spans="2:13" ht="40.200000000000003" customHeight="1">
      <c r="B23" s="65">
        <v>1.1000000000000001</v>
      </c>
      <c r="C23" s="103" t="s">
        <v>9</v>
      </c>
      <c r="D23" s="104"/>
      <c r="E23" s="105"/>
      <c r="F23" s="2"/>
      <c r="G23" s="57"/>
      <c r="H23" s="113"/>
      <c r="I23" s="109"/>
      <c r="J23" s="110"/>
      <c r="K23" s="111"/>
    </row>
    <row r="24" spans="2:13" ht="40.200000000000003" customHeight="1">
      <c r="B24" s="65">
        <v>1.2</v>
      </c>
      <c r="C24" s="103" t="s">
        <v>10</v>
      </c>
      <c r="D24" s="104"/>
      <c r="E24" s="105"/>
      <c r="F24" s="2"/>
      <c r="G24" s="57"/>
      <c r="H24" s="113"/>
      <c r="I24" s="109"/>
      <c r="J24" s="110"/>
      <c r="K24" s="111"/>
    </row>
    <row r="25" spans="2:13" ht="40.200000000000003" customHeight="1">
      <c r="B25" s="65">
        <v>1.3</v>
      </c>
      <c r="C25" s="103" t="s">
        <v>11</v>
      </c>
      <c r="D25" s="104"/>
      <c r="E25" s="105"/>
      <c r="F25" s="2"/>
      <c r="G25" s="57"/>
      <c r="H25" s="113"/>
      <c r="I25" s="109"/>
      <c r="J25" s="110"/>
      <c r="K25" s="111"/>
    </row>
    <row r="26" spans="2:13" ht="40.200000000000003" customHeight="1">
      <c r="B26" s="65">
        <v>1.2</v>
      </c>
      <c r="C26" s="103" t="s">
        <v>12</v>
      </c>
      <c r="D26" s="104"/>
      <c r="E26" s="105"/>
      <c r="F26" s="2"/>
      <c r="G26" s="57"/>
      <c r="H26" s="113"/>
      <c r="I26" s="109"/>
      <c r="J26" s="110"/>
      <c r="K26" s="111"/>
    </row>
    <row r="27" spans="2:13" ht="40.200000000000003" customHeight="1" thickBot="1">
      <c r="B27" s="65">
        <v>1.3</v>
      </c>
      <c r="C27" s="103" t="s">
        <v>13</v>
      </c>
      <c r="D27" s="104"/>
      <c r="E27" s="105"/>
      <c r="F27" s="2"/>
      <c r="G27" s="58"/>
      <c r="H27" s="114"/>
      <c r="I27" s="109"/>
      <c r="J27" s="110"/>
      <c r="K27" s="111"/>
    </row>
    <row r="28" spans="2:13" ht="45" customHeight="1" thickBot="1">
      <c r="B28" s="118" t="s">
        <v>17</v>
      </c>
      <c r="C28" s="119"/>
      <c r="D28" s="119"/>
      <c r="E28" s="119"/>
      <c r="F28" s="119"/>
      <c r="G28" s="119"/>
      <c r="H28" s="120"/>
      <c r="I28" s="94"/>
      <c r="J28" s="94"/>
      <c r="K28" s="95"/>
    </row>
    <row r="29" spans="2:13" ht="40.200000000000003" customHeight="1">
      <c r="B29" s="65">
        <v>2.1</v>
      </c>
      <c r="C29" s="103" t="s">
        <v>18</v>
      </c>
      <c r="D29" s="104"/>
      <c r="E29" s="105"/>
      <c r="F29" s="2"/>
      <c r="G29" s="56"/>
      <c r="H29" s="112"/>
      <c r="I29" s="78"/>
      <c r="J29" s="78"/>
      <c r="K29" s="79"/>
    </row>
    <row r="30" spans="2:13" ht="40.200000000000003" customHeight="1">
      <c r="B30" s="65">
        <v>2.2000000000000002</v>
      </c>
      <c r="C30" s="103" t="s">
        <v>19</v>
      </c>
      <c r="D30" s="104"/>
      <c r="E30" s="105"/>
      <c r="F30" s="2"/>
      <c r="G30" s="57"/>
      <c r="H30" s="113"/>
      <c r="I30" s="78"/>
      <c r="J30" s="78"/>
      <c r="K30" s="79"/>
    </row>
    <row r="31" spans="2:13" ht="40.200000000000003" customHeight="1">
      <c r="B31" s="65">
        <v>2.2999999999999998</v>
      </c>
      <c r="C31" s="103" t="s">
        <v>20</v>
      </c>
      <c r="D31" s="104"/>
      <c r="E31" s="105"/>
      <c r="F31" s="2"/>
      <c r="G31" s="57"/>
      <c r="H31" s="113"/>
      <c r="I31" s="78"/>
      <c r="J31" s="78"/>
      <c r="K31" s="79"/>
    </row>
    <row r="32" spans="2:13" ht="40.200000000000003" customHeight="1">
      <c r="B32" s="65">
        <v>2.4</v>
      </c>
      <c r="C32" s="103" t="s">
        <v>21</v>
      </c>
      <c r="D32" s="104"/>
      <c r="E32" s="105"/>
      <c r="F32" s="2"/>
      <c r="G32" s="58"/>
      <c r="H32" s="113"/>
      <c r="I32" s="78"/>
      <c r="J32" s="78"/>
      <c r="K32" s="79"/>
    </row>
    <row r="33" spans="2:11" ht="45" customHeight="1" thickBot="1">
      <c r="B33" s="118" t="s">
        <v>22</v>
      </c>
      <c r="C33" s="122"/>
      <c r="D33" s="122"/>
      <c r="E33" s="122"/>
      <c r="F33" s="122"/>
      <c r="G33" s="122"/>
      <c r="H33" s="123"/>
      <c r="I33" s="94"/>
      <c r="J33" s="94"/>
      <c r="K33" s="95"/>
    </row>
    <row r="34" spans="2:11" ht="40.200000000000003" customHeight="1">
      <c r="B34" s="65">
        <v>3.1</v>
      </c>
      <c r="C34" s="103" t="s">
        <v>23</v>
      </c>
      <c r="D34" s="104"/>
      <c r="E34" s="105"/>
      <c r="F34" s="2"/>
      <c r="G34" s="56"/>
      <c r="H34" s="112"/>
      <c r="I34" s="78"/>
      <c r="J34" s="78"/>
      <c r="K34" s="79"/>
    </row>
    <row r="35" spans="2:11" ht="40.200000000000003" customHeight="1">
      <c r="B35" s="65">
        <v>3.2</v>
      </c>
      <c r="C35" s="103" t="s">
        <v>24</v>
      </c>
      <c r="D35" s="104"/>
      <c r="E35" s="105"/>
      <c r="F35" s="2"/>
      <c r="G35" s="57"/>
      <c r="H35" s="113"/>
      <c r="I35" s="78"/>
      <c r="J35" s="78"/>
      <c r="K35" s="79"/>
    </row>
    <row r="36" spans="2:11" ht="40.200000000000003" customHeight="1">
      <c r="B36" s="65">
        <v>3.3</v>
      </c>
      <c r="C36" s="103" t="s">
        <v>25</v>
      </c>
      <c r="D36" s="104"/>
      <c r="E36" s="105"/>
      <c r="F36" s="2"/>
      <c r="G36" s="57"/>
      <c r="H36" s="113"/>
      <c r="I36" s="78"/>
      <c r="J36" s="78"/>
      <c r="K36" s="79"/>
    </row>
    <row r="37" spans="2:11" ht="40.200000000000003" customHeight="1">
      <c r="B37" s="65">
        <v>3.4</v>
      </c>
      <c r="C37" s="103" t="s">
        <v>26</v>
      </c>
      <c r="D37" s="104"/>
      <c r="E37" s="105"/>
      <c r="F37" s="2"/>
      <c r="G37" s="57"/>
      <c r="H37" s="113"/>
      <c r="I37" s="78"/>
      <c r="J37" s="78"/>
      <c r="K37" s="79"/>
    </row>
    <row r="38" spans="2:11" ht="40.200000000000003" customHeight="1">
      <c r="B38" s="65">
        <v>3.5</v>
      </c>
      <c r="C38" s="103" t="s">
        <v>27</v>
      </c>
      <c r="D38" s="104"/>
      <c r="E38" s="105"/>
      <c r="F38" s="2"/>
      <c r="G38" s="57"/>
      <c r="H38" s="113"/>
      <c r="I38" s="78"/>
      <c r="J38" s="78"/>
      <c r="K38" s="79"/>
    </row>
    <row r="39" spans="2:11" ht="40.200000000000003" customHeight="1">
      <c r="B39" s="65">
        <v>3.6</v>
      </c>
      <c r="C39" s="103" t="s">
        <v>28</v>
      </c>
      <c r="D39" s="104"/>
      <c r="E39" s="105"/>
      <c r="F39" s="2"/>
      <c r="G39" s="58"/>
      <c r="H39" s="121"/>
      <c r="I39" s="78"/>
      <c r="J39" s="78"/>
      <c r="K39" s="79"/>
    </row>
    <row r="40" spans="2:11" ht="45" customHeight="1" thickBot="1">
      <c r="B40" s="118" t="s">
        <v>34</v>
      </c>
      <c r="C40" s="122"/>
      <c r="D40" s="122"/>
      <c r="E40" s="122"/>
      <c r="F40" s="122"/>
      <c r="G40" s="122"/>
      <c r="H40" s="123"/>
      <c r="I40" s="94"/>
      <c r="J40" s="94"/>
      <c r="K40" s="95"/>
    </row>
    <row r="41" spans="2:11" ht="40.200000000000003" customHeight="1">
      <c r="B41" s="65">
        <v>4.0999999999999996</v>
      </c>
      <c r="C41" s="103" t="s">
        <v>29</v>
      </c>
      <c r="D41" s="104"/>
      <c r="E41" s="105"/>
      <c r="F41" s="2"/>
      <c r="G41" s="56"/>
      <c r="H41" s="112"/>
      <c r="I41" s="78"/>
      <c r="J41" s="78"/>
      <c r="K41" s="79"/>
    </row>
    <row r="42" spans="2:11" ht="40.200000000000003" customHeight="1">
      <c r="B42" s="65">
        <v>4.2</v>
      </c>
      <c r="C42" s="103" t="s">
        <v>25</v>
      </c>
      <c r="D42" s="104"/>
      <c r="E42" s="105"/>
      <c r="F42" s="2"/>
      <c r="G42" s="57"/>
      <c r="H42" s="113"/>
      <c r="I42" s="78"/>
      <c r="J42" s="78"/>
      <c r="K42" s="79"/>
    </row>
    <row r="43" spans="2:11" ht="40.200000000000003" customHeight="1">
      <c r="B43" s="65">
        <v>4.3</v>
      </c>
      <c r="C43" s="103" t="s">
        <v>30</v>
      </c>
      <c r="D43" s="104"/>
      <c r="E43" s="105"/>
      <c r="F43" s="2"/>
      <c r="G43" s="57"/>
      <c r="H43" s="113"/>
      <c r="I43" s="78"/>
      <c r="J43" s="78"/>
      <c r="K43" s="79"/>
    </row>
    <row r="44" spans="2:11" ht="40.200000000000003" customHeight="1">
      <c r="B44" s="65">
        <v>4.4000000000000004</v>
      </c>
      <c r="C44" s="103" t="s">
        <v>31</v>
      </c>
      <c r="D44" s="104"/>
      <c r="E44" s="105"/>
      <c r="F44" s="2"/>
      <c r="G44"/>
      <c r="H44" s="113"/>
      <c r="I44" s="78"/>
      <c r="J44" s="78"/>
      <c r="K44" s="79"/>
    </row>
    <row r="45" spans="2:11" ht="40.200000000000003" customHeight="1">
      <c r="B45" s="65">
        <v>4.5</v>
      </c>
      <c r="C45" s="115" t="s">
        <v>32</v>
      </c>
      <c r="D45" s="116"/>
      <c r="E45" s="117"/>
      <c r="F45" s="43"/>
      <c r="G45"/>
      <c r="H45" s="113"/>
      <c r="I45" s="78"/>
      <c r="J45" s="78"/>
      <c r="K45" s="79"/>
    </row>
    <row r="46" spans="2:11" ht="40.200000000000003" customHeight="1">
      <c r="B46" s="65">
        <v>4.5999999999999996</v>
      </c>
      <c r="C46" s="103" t="s">
        <v>33</v>
      </c>
      <c r="D46" s="104"/>
      <c r="E46" s="105"/>
      <c r="F46" s="2"/>
      <c r="G46"/>
      <c r="H46" s="121"/>
      <c r="I46" s="78"/>
      <c r="J46" s="78"/>
      <c r="K46" s="79"/>
    </row>
    <row r="47" spans="2:11" ht="45" customHeight="1" thickBot="1">
      <c r="B47" s="118" t="s">
        <v>60</v>
      </c>
      <c r="C47" s="119"/>
      <c r="D47" s="119"/>
      <c r="E47" s="119"/>
      <c r="F47" s="119"/>
      <c r="G47" s="119"/>
      <c r="H47" s="120"/>
      <c r="I47" s="94"/>
      <c r="J47" s="94"/>
      <c r="K47" s="95"/>
    </row>
    <row r="48" spans="2:11" ht="40.200000000000003" customHeight="1">
      <c r="B48" s="65">
        <v>5.0999999999999996</v>
      </c>
      <c r="C48" s="103" t="s">
        <v>35</v>
      </c>
      <c r="D48" s="104"/>
      <c r="E48" s="105"/>
      <c r="F48" s="2"/>
      <c r="G48" s="56"/>
      <c r="H48" s="112"/>
      <c r="I48" s="78"/>
      <c r="J48" s="78"/>
      <c r="K48" s="79"/>
    </row>
    <row r="49" spans="2:11" ht="40.200000000000003" customHeight="1">
      <c r="B49" s="65">
        <v>5.2</v>
      </c>
      <c r="C49" s="103" t="s">
        <v>36</v>
      </c>
      <c r="D49" s="104"/>
      <c r="E49" s="105"/>
      <c r="F49" s="2"/>
      <c r="G49" s="57"/>
      <c r="H49" s="113"/>
      <c r="I49" s="78"/>
      <c r="J49" s="78"/>
      <c r="K49" s="79"/>
    </row>
    <row r="50" spans="2:11" ht="40.200000000000003" customHeight="1">
      <c r="B50" s="65">
        <v>5.3</v>
      </c>
      <c r="C50" s="103" t="s">
        <v>37</v>
      </c>
      <c r="D50" s="104"/>
      <c r="E50" s="105"/>
      <c r="F50" s="2"/>
      <c r="G50" s="57"/>
      <c r="H50" s="113"/>
      <c r="I50" s="78"/>
      <c r="J50" s="78"/>
      <c r="K50" s="79"/>
    </row>
    <row r="51" spans="2:11" ht="40.200000000000003" customHeight="1">
      <c r="B51" s="65">
        <v>5.4</v>
      </c>
      <c r="C51" s="103" t="s">
        <v>38</v>
      </c>
      <c r="D51" s="104"/>
      <c r="E51" s="105"/>
      <c r="F51" s="2"/>
      <c r="G51" s="57"/>
      <c r="H51" s="113"/>
      <c r="I51" s="78"/>
      <c r="J51" s="78"/>
      <c r="K51" s="79"/>
    </row>
    <row r="52" spans="2:11" ht="40.200000000000003" customHeight="1">
      <c r="B52" s="65">
        <v>5.5</v>
      </c>
      <c r="C52" s="103" t="s">
        <v>39</v>
      </c>
      <c r="D52" s="104"/>
      <c r="E52" s="105"/>
      <c r="F52" s="2"/>
      <c r="G52" s="57"/>
      <c r="H52" s="113"/>
      <c r="I52" s="78"/>
      <c r="J52" s="78"/>
      <c r="K52" s="79"/>
    </row>
    <row r="53" spans="2:11" ht="40.200000000000003" customHeight="1">
      <c r="B53" s="65">
        <v>5.6</v>
      </c>
      <c r="C53" s="103" t="s">
        <v>40</v>
      </c>
      <c r="D53" s="104"/>
      <c r="E53" s="105"/>
      <c r="F53" s="2"/>
      <c r="G53" s="57"/>
      <c r="H53" s="113"/>
      <c r="I53" s="78"/>
      <c r="J53" s="78"/>
      <c r="K53" s="79"/>
    </row>
    <row r="54" spans="2:11" ht="40.200000000000003" customHeight="1">
      <c r="B54" s="65">
        <v>5.7</v>
      </c>
      <c r="C54" s="103" t="s">
        <v>41</v>
      </c>
      <c r="D54" s="104"/>
      <c r="E54" s="105"/>
      <c r="F54" s="2"/>
      <c r="G54" s="57"/>
      <c r="H54" s="113"/>
      <c r="I54" s="78"/>
      <c r="J54" s="78"/>
      <c r="K54" s="79"/>
    </row>
    <row r="55" spans="2:11" ht="40.200000000000003" customHeight="1">
      <c r="B55" s="65">
        <v>5.8</v>
      </c>
      <c r="C55" s="103" t="s">
        <v>42</v>
      </c>
      <c r="D55" s="104"/>
      <c r="E55" s="105"/>
      <c r="F55" s="2"/>
      <c r="G55" s="57"/>
      <c r="H55" s="113"/>
      <c r="I55" s="78"/>
      <c r="J55" s="78"/>
      <c r="K55" s="79"/>
    </row>
    <row r="56" spans="2:11" ht="40.200000000000003" customHeight="1">
      <c r="B56" s="65">
        <v>5.9</v>
      </c>
      <c r="C56" s="103" t="s">
        <v>43</v>
      </c>
      <c r="D56" s="104"/>
      <c r="E56" s="105"/>
      <c r="F56" s="2"/>
      <c r="G56" s="57"/>
      <c r="H56" s="113"/>
      <c r="I56" s="78"/>
      <c r="J56" s="78"/>
      <c r="K56" s="79"/>
    </row>
    <row r="57" spans="2:11" ht="40.200000000000003" customHeight="1">
      <c r="B57" s="66">
        <v>5.0999999999999996</v>
      </c>
      <c r="C57" s="103" t="s">
        <v>44</v>
      </c>
      <c r="D57" s="104"/>
      <c r="E57" s="105"/>
      <c r="F57" s="2"/>
      <c r="G57" s="58"/>
      <c r="H57" s="121"/>
      <c r="I57" s="78"/>
      <c r="J57" s="78"/>
      <c r="K57" s="79"/>
    </row>
    <row r="58" spans="2:11" ht="45" customHeight="1" thickBot="1">
      <c r="B58" s="118" t="s">
        <v>59</v>
      </c>
      <c r="C58" s="119"/>
      <c r="D58" s="119"/>
      <c r="E58" s="119"/>
      <c r="F58" s="119"/>
      <c r="G58" s="119"/>
      <c r="H58" s="120"/>
      <c r="I58" s="94"/>
      <c r="J58" s="94"/>
      <c r="K58" s="95"/>
    </row>
    <row r="59" spans="2:11" ht="40.200000000000003" customHeight="1">
      <c r="B59" s="65">
        <v>6.1</v>
      </c>
      <c r="C59" s="103" t="s">
        <v>45</v>
      </c>
      <c r="D59" s="104"/>
      <c r="E59" s="105"/>
      <c r="F59" s="2"/>
      <c r="G59" s="56"/>
      <c r="H59" s="112"/>
      <c r="I59" s="78"/>
      <c r="J59" s="78"/>
      <c r="K59" s="79"/>
    </row>
    <row r="60" spans="2:11" ht="40.200000000000003" customHeight="1">
      <c r="B60" s="65">
        <v>6.2</v>
      </c>
      <c r="C60" s="103" t="s">
        <v>46</v>
      </c>
      <c r="D60" s="104"/>
      <c r="E60" s="105"/>
      <c r="F60" s="2"/>
      <c r="G60" s="57"/>
      <c r="H60" s="113"/>
      <c r="I60" s="78"/>
      <c r="J60" s="78"/>
      <c r="K60" s="79"/>
    </row>
    <row r="61" spans="2:11" ht="40.200000000000003" customHeight="1">
      <c r="B61" s="65">
        <v>6.3</v>
      </c>
      <c r="C61" s="103" t="s">
        <v>47</v>
      </c>
      <c r="D61" s="104"/>
      <c r="E61" s="105"/>
      <c r="F61" s="2"/>
      <c r="G61" s="57"/>
      <c r="H61" s="113"/>
      <c r="I61" s="78"/>
      <c r="J61" s="78"/>
      <c r="K61" s="79"/>
    </row>
    <row r="62" spans="2:11" ht="40.200000000000003" customHeight="1">
      <c r="B62" s="65">
        <v>6.4</v>
      </c>
      <c r="C62" s="103" t="s">
        <v>48</v>
      </c>
      <c r="D62" s="104"/>
      <c r="E62" s="105"/>
      <c r="F62" s="2"/>
      <c r="G62" s="57"/>
      <c r="H62" s="113"/>
      <c r="I62" s="78"/>
      <c r="J62" s="78"/>
      <c r="K62" s="79"/>
    </row>
    <row r="63" spans="2:11" ht="40.200000000000003" customHeight="1">
      <c r="B63" s="65">
        <v>6.5</v>
      </c>
      <c r="C63" s="103" t="s">
        <v>49</v>
      </c>
      <c r="D63" s="104"/>
      <c r="E63" s="105"/>
      <c r="F63" s="2"/>
      <c r="G63" s="57"/>
      <c r="H63" s="113"/>
      <c r="I63" s="78"/>
      <c r="J63" s="78"/>
      <c r="K63" s="79"/>
    </row>
    <row r="64" spans="2:11" ht="40.200000000000003" customHeight="1">
      <c r="B64" s="65">
        <v>6.6</v>
      </c>
      <c r="C64" s="103" t="s">
        <v>50</v>
      </c>
      <c r="D64" s="104"/>
      <c r="E64" s="105"/>
      <c r="F64" s="2"/>
      <c r="G64" s="57"/>
      <c r="H64" s="113"/>
      <c r="I64" s="78"/>
      <c r="J64" s="78"/>
      <c r="K64" s="79"/>
    </row>
    <row r="65" spans="2:11" ht="40.200000000000003" customHeight="1">
      <c r="B65" s="65">
        <v>6.7</v>
      </c>
      <c r="C65" s="103" t="s">
        <v>51</v>
      </c>
      <c r="D65" s="104"/>
      <c r="E65" s="105"/>
      <c r="F65" s="2"/>
      <c r="G65" s="57"/>
      <c r="H65" s="113"/>
      <c r="I65" s="78"/>
      <c r="J65" s="78"/>
      <c r="K65" s="79"/>
    </row>
    <row r="66" spans="2:11" ht="40.200000000000003" customHeight="1">
      <c r="B66" s="65">
        <v>6.8</v>
      </c>
      <c r="C66" s="103" t="s">
        <v>52</v>
      </c>
      <c r="D66" s="104"/>
      <c r="E66" s="105"/>
      <c r="F66" s="2"/>
      <c r="G66" s="57"/>
      <c r="H66" s="113"/>
      <c r="I66" s="78"/>
      <c r="J66" s="78"/>
      <c r="K66" s="79"/>
    </row>
    <row r="67" spans="2:11" ht="40.200000000000003" customHeight="1">
      <c r="B67" s="65">
        <v>6.9</v>
      </c>
      <c r="C67" s="103" t="s">
        <v>53</v>
      </c>
      <c r="D67" s="104"/>
      <c r="E67" s="105"/>
      <c r="F67" s="2"/>
      <c r="G67" s="57"/>
      <c r="H67" s="113"/>
      <c r="I67" s="78"/>
      <c r="J67" s="78"/>
      <c r="K67" s="79"/>
    </row>
    <row r="68" spans="2:11" ht="40.200000000000003" customHeight="1">
      <c r="B68" s="66">
        <v>6.1</v>
      </c>
      <c r="C68" s="103" t="s">
        <v>54</v>
      </c>
      <c r="D68" s="104"/>
      <c r="E68" s="105"/>
      <c r="F68" s="2"/>
      <c r="G68" s="57"/>
      <c r="H68" s="113"/>
      <c r="I68" s="78"/>
      <c r="J68" s="78"/>
      <c r="K68" s="79"/>
    </row>
    <row r="69" spans="2:11" ht="40.200000000000003" customHeight="1">
      <c r="B69" s="66">
        <v>6.11</v>
      </c>
      <c r="C69" s="103" t="s">
        <v>55</v>
      </c>
      <c r="D69" s="104"/>
      <c r="E69" s="105"/>
      <c r="F69" s="2"/>
      <c r="G69" s="58"/>
      <c r="H69" s="121"/>
      <c r="I69" s="78"/>
      <c r="J69" s="78"/>
      <c r="K69" s="79"/>
    </row>
    <row r="70" spans="2:11" ht="40.200000000000003" customHeight="1" thickBot="1">
      <c r="B70" s="118" t="s">
        <v>80</v>
      </c>
      <c r="C70" s="119"/>
      <c r="D70" s="119"/>
      <c r="E70" s="119"/>
      <c r="F70" s="119"/>
      <c r="G70" s="98"/>
      <c r="H70" s="99"/>
      <c r="I70" s="94"/>
      <c r="J70" s="94"/>
      <c r="K70" s="95"/>
    </row>
    <row r="71" spans="2:11" ht="40.200000000000003" customHeight="1">
      <c r="B71" s="65">
        <v>7.1</v>
      </c>
      <c r="C71" s="103" t="s">
        <v>81</v>
      </c>
      <c r="D71" s="104"/>
      <c r="E71" s="105"/>
      <c r="F71" s="24"/>
      <c r="G71" s="59"/>
      <c r="H71" s="112"/>
      <c r="I71" s="141"/>
      <c r="J71" s="78"/>
      <c r="K71" s="79"/>
    </row>
    <row r="72" spans="2:11" ht="40.200000000000003" customHeight="1">
      <c r="B72" s="65">
        <v>7.2</v>
      </c>
      <c r="C72" s="103" t="s">
        <v>82</v>
      </c>
      <c r="D72" s="104"/>
      <c r="E72" s="105"/>
      <c r="F72" s="24"/>
      <c r="G72" s="60"/>
      <c r="H72" s="113"/>
      <c r="I72" s="141"/>
      <c r="J72" s="78"/>
      <c r="K72" s="79"/>
    </row>
    <row r="73" spans="2:11" ht="40.200000000000003" customHeight="1">
      <c r="B73" s="65">
        <v>7.3</v>
      </c>
      <c r="C73" s="103" t="s">
        <v>83</v>
      </c>
      <c r="D73" s="104"/>
      <c r="E73" s="105"/>
      <c r="F73" s="24"/>
      <c r="G73" s="60"/>
      <c r="H73" s="113"/>
      <c r="I73" s="141"/>
      <c r="J73" s="78"/>
      <c r="K73" s="79"/>
    </row>
    <row r="74" spans="2:11" ht="40.200000000000003" customHeight="1">
      <c r="B74" s="65">
        <v>7.4</v>
      </c>
      <c r="C74" s="103" t="s">
        <v>84</v>
      </c>
      <c r="D74" s="104"/>
      <c r="E74" s="105"/>
      <c r="F74" s="24"/>
      <c r="G74" s="60"/>
      <c r="H74" s="113"/>
      <c r="I74" s="141"/>
      <c r="J74" s="78"/>
      <c r="K74" s="79"/>
    </row>
    <row r="75" spans="2:11" ht="40.200000000000003" customHeight="1">
      <c r="B75" s="65">
        <v>7.5</v>
      </c>
      <c r="C75" s="103" t="s">
        <v>85</v>
      </c>
      <c r="D75" s="104"/>
      <c r="E75" s="105"/>
      <c r="F75" s="24"/>
      <c r="G75" s="60"/>
      <c r="H75" s="113"/>
      <c r="I75" s="141"/>
      <c r="J75" s="78"/>
      <c r="K75" s="79"/>
    </row>
    <row r="76" spans="2:11" ht="40.200000000000003" customHeight="1">
      <c r="B76" s="65">
        <v>7.6</v>
      </c>
      <c r="C76" s="103" t="s">
        <v>86</v>
      </c>
      <c r="D76" s="104"/>
      <c r="E76" s="105"/>
      <c r="F76" s="24"/>
      <c r="G76" s="60"/>
      <c r="H76" s="113"/>
      <c r="I76" s="141"/>
      <c r="J76" s="78"/>
      <c r="K76" s="79"/>
    </row>
    <row r="77" spans="2:11" ht="40.200000000000003" customHeight="1">
      <c r="B77" s="65">
        <v>7.7</v>
      </c>
      <c r="C77" s="103" t="s">
        <v>87</v>
      </c>
      <c r="D77" s="104"/>
      <c r="E77" s="105"/>
      <c r="F77" s="24"/>
      <c r="G77" s="60"/>
      <c r="H77" s="113"/>
      <c r="I77" s="141"/>
      <c r="J77" s="78"/>
      <c r="K77" s="79"/>
    </row>
    <row r="78" spans="2:11" ht="40.200000000000003" customHeight="1">
      <c r="B78" s="65">
        <v>7.8</v>
      </c>
      <c r="C78" s="103" t="s">
        <v>88</v>
      </c>
      <c r="D78" s="104"/>
      <c r="E78" s="105"/>
      <c r="F78" s="24"/>
      <c r="G78" s="60"/>
      <c r="H78" s="113"/>
      <c r="I78" s="141"/>
      <c r="J78" s="78"/>
      <c r="K78" s="79"/>
    </row>
    <row r="79" spans="2:11" ht="40.200000000000003" customHeight="1">
      <c r="B79" s="65">
        <v>7.9</v>
      </c>
      <c r="C79" s="103" t="s">
        <v>89</v>
      </c>
      <c r="D79" s="104"/>
      <c r="E79" s="105"/>
      <c r="F79" s="24"/>
      <c r="G79" s="60"/>
      <c r="H79" s="113"/>
      <c r="I79" s="141"/>
      <c r="J79" s="78"/>
      <c r="K79" s="79"/>
    </row>
    <row r="80" spans="2:11" ht="40.200000000000003" customHeight="1" thickBot="1">
      <c r="B80" s="66">
        <v>7.1</v>
      </c>
      <c r="C80" s="103" t="s">
        <v>90</v>
      </c>
      <c r="D80" s="104"/>
      <c r="E80" s="105"/>
      <c r="F80" s="24"/>
      <c r="G80" s="61"/>
      <c r="H80" s="113"/>
      <c r="I80" s="141"/>
      <c r="J80" s="78"/>
      <c r="K80" s="79"/>
    </row>
    <row r="81" spans="2:11" ht="30" customHeight="1" thickBot="1">
      <c r="B81" s="118" t="s">
        <v>91</v>
      </c>
      <c r="C81" s="119"/>
      <c r="D81" s="119"/>
      <c r="E81" s="119"/>
      <c r="F81" s="119"/>
      <c r="G81" s="155"/>
      <c r="H81" s="156"/>
      <c r="I81" s="141"/>
      <c r="J81" s="78"/>
      <c r="K81" s="79"/>
    </row>
    <row r="82" spans="2:11" ht="40.200000000000003" customHeight="1">
      <c r="B82" s="65">
        <v>8.1</v>
      </c>
      <c r="C82" s="139" t="s">
        <v>107</v>
      </c>
      <c r="D82" s="139"/>
      <c r="E82" s="139"/>
      <c r="F82" s="2"/>
      <c r="G82" s="56"/>
      <c r="H82" s="112"/>
      <c r="I82" s="141"/>
      <c r="J82" s="78"/>
      <c r="K82" s="79"/>
    </row>
    <row r="83" spans="2:11" ht="40.200000000000003" customHeight="1">
      <c r="B83" s="65">
        <v>8.1999999999999993</v>
      </c>
      <c r="C83" s="139" t="s">
        <v>108</v>
      </c>
      <c r="D83" s="139"/>
      <c r="E83" s="139"/>
      <c r="F83" s="2"/>
      <c r="G83" s="57"/>
      <c r="H83" s="113"/>
      <c r="I83" s="141"/>
      <c r="J83" s="78"/>
      <c r="K83" s="79"/>
    </row>
    <row r="84" spans="2:11" ht="40.200000000000003" customHeight="1" thickBot="1">
      <c r="B84" s="67">
        <v>8.3000000000000007</v>
      </c>
      <c r="C84" s="140" t="s">
        <v>109</v>
      </c>
      <c r="D84" s="140"/>
      <c r="E84" s="140"/>
      <c r="F84" s="68"/>
      <c r="G84" s="69"/>
      <c r="H84" s="114"/>
      <c r="I84" s="141"/>
      <c r="J84" s="78"/>
      <c r="K84" s="79"/>
    </row>
    <row r="85" spans="2:11" ht="40.200000000000003" customHeight="1">
      <c r="B85" s="17"/>
      <c r="C85" s="3"/>
      <c r="D85" s="3"/>
      <c r="I85" s="18"/>
      <c r="J85" s="18"/>
      <c r="K85" s="18"/>
    </row>
    <row r="86" spans="2:11" ht="30" customHeight="1">
      <c r="B86" s="108" t="s">
        <v>1</v>
      </c>
      <c r="C86" s="108"/>
      <c r="D86" s="108"/>
      <c r="E86" s="108"/>
      <c r="F86" s="108"/>
      <c r="G86" s="108"/>
      <c r="H86" s="108"/>
      <c r="I86" s="108"/>
      <c r="J86" s="108"/>
      <c r="K86" s="108"/>
    </row>
    <row r="87" spans="2:11" ht="30" customHeight="1">
      <c r="B87" s="106"/>
      <c r="C87" s="107"/>
      <c r="D87" s="107"/>
      <c r="E87" s="107"/>
      <c r="F87" s="107"/>
      <c r="G87" s="107"/>
      <c r="H87" s="107"/>
      <c r="I87" s="107"/>
      <c r="J87" s="107"/>
      <c r="K87" s="107"/>
    </row>
    <row r="88" spans="2:11" ht="30" customHeight="1">
      <c r="B88" s="107"/>
      <c r="C88" s="107"/>
      <c r="D88" s="107"/>
      <c r="E88" s="107"/>
      <c r="F88" s="107"/>
      <c r="G88" s="107"/>
      <c r="H88" s="107"/>
      <c r="I88" s="107"/>
      <c r="J88" s="107"/>
      <c r="K88" s="107"/>
    </row>
    <row r="89" spans="2:11" ht="30" customHeight="1">
      <c r="B89" s="107"/>
      <c r="C89" s="107"/>
      <c r="D89" s="107"/>
      <c r="E89" s="107"/>
      <c r="F89" s="107"/>
      <c r="G89" s="107"/>
      <c r="H89" s="107"/>
      <c r="I89" s="107"/>
      <c r="J89" s="107"/>
      <c r="K89" s="107"/>
    </row>
    <row r="90" spans="2:11" ht="30" customHeight="1">
      <c r="B90" s="107"/>
      <c r="C90" s="107"/>
      <c r="D90" s="107"/>
      <c r="E90" s="107"/>
      <c r="F90" s="107"/>
      <c r="G90" s="107"/>
      <c r="H90" s="107"/>
      <c r="I90" s="107"/>
      <c r="J90" s="107"/>
      <c r="K90" s="107"/>
    </row>
    <row r="91" spans="2:11" ht="30" customHeight="1">
      <c r="B91" s="107"/>
      <c r="C91" s="107"/>
      <c r="D91" s="107"/>
      <c r="E91" s="107"/>
      <c r="F91" s="107"/>
      <c r="G91" s="107"/>
      <c r="H91" s="107"/>
      <c r="I91" s="107"/>
      <c r="J91" s="107"/>
      <c r="K91" s="107"/>
    </row>
    <row r="92" spans="2:11" ht="30" customHeight="1">
      <c r="B92" s="107"/>
      <c r="C92" s="107"/>
      <c r="D92" s="107"/>
      <c r="E92" s="107"/>
      <c r="F92" s="107"/>
      <c r="G92" s="107"/>
      <c r="H92" s="107"/>
      <c r="I92" s="107"/>
      <c r="J92" s="107"/>
      <c r="K92" s="107"/>
    </row>
  </sheetData>
  <mergeCells count="163">
    <mergeCell ref="B15:F16"/>
    <mergeCell ref="H15:K16"/>
    <mergeCell ref="D4:G4"/>
    <mergeCell ref="D5:G5"/>
    <mergeCell ref="D6:G6"/>
    <mergeCell ref="D7:G7"/>
    <mergeCell ref="D8:G8"/>
    <mergeCell ref="D9:G9"/>
    <mergeCell ref="B81:H81"/>
    <mergeCell ref="I81:K81"/>
    <mergeCell ref="B70:H70"/>
    <mergeCell ref="I70:K70"/>
    <mergeCell ref="C74:E74"/>
    <mergeCell ref="C75:E75"/>
    <mergeCell ref="C76:E76"/>
    <mergeCell ref="C77:E77"/>
    <mergeCell ref="B40:H40"/>
    <mergeCell ref="C41:E41"/>
    <mergeCell ref="H41:H46"/>
    <mergeCell ref="C42:E42"/>
    <mergeCell ref="B11:K11"/>
    <mergeCell ref="B28:H28"/>
    <mergeCell ref="C29:E29"/>
    <mergeCell ref="H29:H32"/>
    <mergeCell ref="C82:E82"/>
    <mergeCell ref="C83:E83"/>
    <mergeCell ref="C84:E84"/>
    <mergeCell ref="H82:H84"/>
    <mergeCell ref="I82:K82"/>
    <mergeCell ref="I83:K83"/>
    <mergeCell ref="I84:K84"/>
    <mergeCell ref="C78:E78"/>
    <mergeCell ref="C79:E79"/>
    <mergeCell ref="C80:E80"/>
    <mergeCell ref="H71:H80"/>
    <mergeCell ref="I71:K71"/>
    <mergeCell ref="I72:K72"/>
    <mergeCell ref="I73:K73"/>
    <mergeCell ref="I74:K74"/>
    <mergeCell ref="I75:K75"/>
    <mergeCell ref="I76:K76"/>
    <mergeCell ref="I77:K77"/>
    <mergeCell ref="I78:K78"/>
    <mergeCell ref="I79:K79"/>
    <mergeCell ref="I80:K80"/>
    <mergeCell ref="C71:E71"/>
    <mergeCell ref="C72:E72"/>
    <mergeCell ref="C73:E73"/>
    <mergeCell ref="B2:K3"/>
    <mergeCell ref="B7:C7"/>
    <mergeCell ref="B6:C6"/>
    <mergeCell ref="B5:C5"/>
    <mergeCell ref="B4:C4"/>
    <mergeCell ref="J5:J8"/>
    <mergeCell ref="B10:C10"/>
    <mergeCell ref="B9:C9"/>
    <mergeCell ref="B8:C8"/>
    <mergeCell ref="C30:E30"/>
    <mergeCell ref="C31:E31"/>
    <mergeCell ref="C32:E32"/>
    <mergeCell ref="B33:H33"/>
    <mergeCell ref="C34:E34"/>
    <mergeCell ref="H34:H39"/>
    <mergeCell ref="C35:E35"/>
    <mergeCell ref="C36:E36"/>
    <mergeCell ref="C37:E37"/>
    <mergeCell ref="C38:E38"/>
    <mergeCell ref="C39:E39"/>
    <mergeCell ref="C43:E43"/>
    <mergeCell ref="C44:E44"/>
    <mergeCell ref="C45:E45"/>
    <mergeCell ref="C46:E46"/>
    <mergeCell ref="B58:H58"/>
    <mergeCell ref="C59:E59"/>
    <mergeCell ref="H59:H69"/>
    <mergeCell ref="C69:E69"/>
    <mergeCell ref="B47:H47"/>
    <mergeCell ref="C48:E48"/>
    <mergeCell ref="H48:H57"/>
    <mergeCell ref="C55:E55"/>
    <mergeCell ref="C56:E56"/>
    <mergeCell ref="C57:E57"/>
    <mergeCell ref="C51:E51"/>
    <mergeCell ref="C52:E52"/>
    <mergeCell ref="C53:E53"/>
    <mergeCell ref="C54:E54"/>
    <mergeCell ref="C60:E60"/>
    <mergeCell ref="C61:E61"/>
    <mergeCell ref="C62:E62"/>
    <mergeCell ref="C63:E63"/>
    <mergeCell ref="C64:E64"/>
    <mergeCell ref="C65:E65"/>
    <mergeCell ref="C66:E66"/>
    <mergeCell ref="C67:E67"/>
    <mergeCell ref="C68:E68"/>
    <mergeCell ref="B87:K92"/>
    <mergeCell ref="B86:K86"/>
    <mergeCell ref="I21:K21"/>
    <mergeCell ref="I22:K22"/>
    <mergeCell ref="I23:K23"/>
    <mergeCell ref="I24:K24"/>
    <mergeCell ref="I25:K25"/>
    <mergeCell ref="I26:K26"/>
    <mergeCell ref="I27:K27"/>
    <mergeCell ref="I28:K28"/>
    <mergeCell ref="I29:K29"/>
    <mergeCell ref="I30:K30"/>
    <mergeCell ref="I31:K31"/>
    <mergeCell ref="I32:K32"/>
    <mergeCell ref="I34:K34"/>
    <mergeCell ref="I35:K35"/>
    <mergeCell ref="H20:H27"/>
    <mergeCell ref="I44:K44"/>
    <mergeCell ref="I45:K45"/>
    <mergeCell ref="I48:K48"/>
    <mergeCell ref="I49:K49"/>
    <mergeCell ref="B13:K14"/>
    <mergeCell ref="C18:E18"/>
    <mergeCell ref="I18:K18"/>
    <mergeCell ref="I20:K20"/>
    <mergeCell ref="I56:K56"/>
    <mergeCell ref="I57:K57"/>
    <mergeCell ref="I58:K58"/>
    <mergeCell ref="I59:K59"/>
    <mergeCell ref="I19:K19"/>
    <mergeCell ref="B19:H19"/>
    <mergeCell ref="C20:E20"/>
    <mergeCell ref="C21:E21"/>
    <mergeCell ref="C22:E22"/>
    <mergeCell ref="C23:E23"/>
    <mergeCell ref="C24:E24"/>
    <mergeCell ref="C25:E25"/>
    <mergeCell ref="C26:E26"/>
    <mergeCell ref="C27:E27"/>
    <mergeCell ref="C49:E49"/>
    <mergeCell ref="C50:E50"/>
    <mergeCell ref="I46:K46"/>
    <mergeCell ref="I33:K33"/>
    <mergeCell ref="I40:K40"/>
    <mergeCell ref="I47:K47"/>
    <mergeCell ref="I50:K50"/>
    <mergeCell ref="I51:K51"/>
    <mergeCell ref="I52:K52"/>
    <mergeCell ref="I36:K36"/>
    <mergeCell ref="I37:K37"/>
    <mergeCell ref="I38:K38"/>
    <mergeCell ref="I39:K39"/>
    <mergeCell ref="I41:K41"/>
    <mergeCell ref="I42:K42"/>
    <mergeCell ref="I43:K43"/>
    <mergeCell ref="I62:K62"/>
    <mergeCell ref="I63:K63"/>
    <mergeCell ref="I64:K64"/>
    <mergeCell ref="I65:K65"/>
    <mergeCell ref="I66:K66"/>
    <mergeCell ref="I67:K67"/>
    <mergeCell ref="I68:K68"/>
    <mergeCell ref="I69:K69"/>
    <mergeCell ref="I53:K53"/>
    <mergeCell ref="I54:K54"/>
    <mergeCell ref="I55:K55"/>
    <mergeCell ref="I60:K60"/>
    <mergeCell ref="I61:K61"/>
  </mergeCells>
  <conditionalFormatting sqref="F26">
    <cfRule type="containsText" dxfId="271" priority="22" operator="containsText" text="انفصال او عدم تثبيت للاجهزه الصحيه">
      <formula>NOT(ISERROR(SEARCH("انفصال او عدم تثبيت للاجهزه الصحيه",F26)))</formula>
    </cfRule>
    <cfRule type="containsText" dxfId="270" priority="31" operator="containsText" text="انفصال او عدم تثبيت للاجهزه الصحيه">
      <formula>NOT(ISERROR(SEARCH("انفصال او عدم تثبيت للاجهزه الصحيه",F26)))</formula>
    </cfRule>
  </conditionalFormatting>
  <conditionalFormatting sqref="F34">
    <cfRule type="containsText" dxfId="269" priority="20" operator="containsText" text="تالفه تماما  او وجود توصيلات مباشره">
      <formula>NOT(ISERROR(SEARCH("تالفه تماما  او وجود توصيلات مباشره",F34)))</formula>
    </cfRule>
    <cfRule type="containsText" dxfId="268" priority="21" operator="containsText" text="بعض الأبواب لا تعمل  او تعطل في لبمات البيان الخارجيه او العدادات">
      <formula>NOT(ISERROR(SEARCH("بعض الأبواب لا تعمل  او تعطل في لبمات البيان الخارجيه او العدادات",F34)))</formula>
    </cfRule>
  </conditionalFormatting>
  <conditionalFormatting sqref="F35">
    <cfRule type="containsText" dxfId="267" priority="19" operator="containsText" text="تالفه تماما  او  وجود توصيلات مباشره">
      <formula>NOT(ISERROR(SEARCH("تالفه تماما  او  وجود توصيلات مباشره",F35)))</formula>
    </cfRule>
  </conditionalFormatting>
  <conditionalFormatting sqref="F37">
    <cfRule type="containsText" dxfId="266" priority="18" operator="containsText" text="تالفه تماما  او  وجود توصيلات مباشره">
      <formula>NOT(ISERROR(SEARCH("تالفه تماما  او  وجود توصيلات مباشره",F37)))</formula>
    </cfRule>
  </conditionalFormatting>
  <conditionalFormatting sqref="F39">
    <cfRule type="containsText" dxfId="265" priority="17" operator="containsText" text="خطوط التغذيه للافياش متصله على احمال عاليه مثل التكييف او غيره">
      <formula>NOT(ISERROR(SEARCH("خطوط التغذيه للافياش متصله على احمال عاليه مثل التكييف او غيره",F39)))</formula>
    </cfRule>
  </conditionalFormatting>
  <conditionalFormatting sqref="F44">
    <cfRule type="containsText" dxfId="264" priority="116" operator="containsText" text="لا يوجد اى ملاحظات">
      <formula>NOT(ISERROR(SEARCH("لا يوجد اى ملاحظات",F44)))</formula>
    </cfRule>
    <cfRule type="containsText" dxfId="263" priority="114" operator="containsText" text="ارتفاع في درجات حراره المفتاح عند العمل ( عدم مناسبه الحمل)">
      <formula>NOT(ISERROR(SEARCH("ارتفاع في درجات حراره المفتاح عند العمل ( عدم مناسبه الحمل)",F44)))</formula>
    </cfRule>
    <cfRule type="containsText" dxfId="262" priority="113" operator="containsText" text="تالفه او بها قصر كهربائي">
      <formula>NOT(ISERROR(SEARCH("تالفه او بها قصر كهربائي",F44)))</formula>
    </cfRule>
    <cfRule type="containsText" dxfId="261" priority="115" operator="containsText" text="تعمل  ومحمل عليها احمال كهربائيه اخري مثل الاضاءه">
      <formula>NOT(ISERROR(SEARCH("تعمل  ومحمل عليها احمال كهربائيه اخري مثل الاضاءه",F44)))</formula>
    </cfRule>
  </conditionalFormatting>
  <conditionalFormatting sqref="F45">
    <cfRule type="containsText" dxfId="260" priority="111" operator="containsText" text="تعمل ولكن كفائه التبريد منخفضه">
      <formula>NOT(ISERROR(SEARCH("تعمل ولكن كفائه التبريد منخفضه",F45)))</formula>
    </cfRule>
    <cfRule type="containsText" dxfId="259" priority="112" operator="containsText" text="لا يوجد اى ملاحظات">
      <formula>NOT(ISERROR(SEARCH("لا يوجد اى ملاحظات",F45)))</formula>
    </cfRule>
    <cfRule type="containsText" dxfId="258" priority="16" operator="containsText" text="تعطل  متكرر  وزياده احمال على اللوحات والقواطع">
      <formula>NOT(ISERROR(SEARCH("تعطل  متكرر  وزياده احمال على اللوحات والقواطع",F45)))</formula>
    </cfRule>
    <cfRule type="containsText" dxfId="257" priority="110" operator="containsText" text="تعطل  متكرر وزياده احمال على اللوحات والقواطع">
      <formula>NOT(ISERROR(SEARCH("تعطل  متكرر وزياده احمال على اللوحات والقواطع",F45)))</formula>
    </cfRule>
    <cfRule type="containsText" dxfId="256" priority="109" operator="containsText" text="اجهزه التكييف تالفه او  متهالكه">
      <formula>NOT(ISERROR(SEARCH("اجهزه التكييف تالفه او  متهالكه",F45)))</formula>
    </cfRule>
  </conditionalFormatting>
  <conditionalFormatting sqref="F46">
    <cfRule type="containsText" dxfId="255" priority="108" operator="containsText" text="لا يوجد اى ملاحظات">
      <formula>NOT(ISERROR(SEARCH("لا يوجد اى ملاحظات",F46)))</formula>
    </cfRule>
    <cfRule type="containsText" dxfId="254" priority="107" operator="containsText" text="يوجد انسداد">
      <formula>NOT(ISERROR(SEARCH("يوجد انسداد",F46)))</formula>
    </cfRule>
    <cfRule type="containsText" dxfId="253" priority="106" operator="containsText" text="يوجد تسربيات تحت العناصر المعماريه او الانشائيه">
      <formula>NOT(ISERROR(SEARCH("يوجد تسربيات تحت العناصر المعماريه او الانشائيه",F46)))</formula>
    </cfRule>
    <cfRule type="containsText" dxfId="252" priority="105" operator="containsText" text="لا يوجد نظام صرف">
      <formula>NOT(ISERROR(SEARCH("لا يوجد نظام صرف",F46)))</formula>
    </cfRule>
  </conditionalFormatting>
  <conditionalFormatting sqref="F49">
    <cfRule type="containsText" dxfId="251" priority="15" operator="containsText" text="انفصال او هبوط خطير  يهدد سلامه المبني او الأشخاص">
      <formula>NOT(ISERROR(SEARCH("انفصال او هبوط خطير  يهدد سلامه المبني او الأشخاص",F49)))</formula>
    </cfRule>
  </conditionalFormatting>
  <conditionalFormatting sqref="F66:F69">
    <cfRule type="containsText" dxfId="250" priority="11" operator="containsText" text="تلف او صدأ  او  وجود نتوئات او حواف خطيره">
      <formula>NOT(ISERROR(SEARCH("تلف او صدأ  او  وجود نتوئات او حواف خطيره",F66)))</formula>
    </cfRule>
  </conditionalFormatting>
  <conditionalFormatting sqref="F71">
    <cfRule type="containsText" dxfId="249" priority="7" operator="containsText" text="الجدران الخرسانيه تالفه">
      <formula>NOT(ISERROR(SEARCH("الجدران الخرسانيه تالفه",F71)))</formula>
    </cfRule>
    <cfRule type="containsText" dxfId="248" priority="8" operator="containsText" text="يحتاج الى اعاده عزل من الداخل">
      <formula>NOT(ISERROR(SEARCH("يحتاج الى اعاده عزل من الداخل",F71)))</formula>
    </cfRule>
    <cfRule type="containsText" dxfId="247" priority="9" operator="containsText" text="تحتاج الى اصلاح طفيف( يحتاج الى عوامه او غطاء)">
      <formula>NOT(ISERROR(SEARCH("تحتاج الى اصلاح طفيف( يحتاج الى عوامه او غطاء)",F71)))</formula>
    </cfRule>
    <cfRule type="containsText" dxfId="246" priority="10" operator="containsText" text="تعمل بشكل جيد">
      <formula>NOT(ISERROR(SEARCH("تعمل بشكل جيد",F71)))</formula>
    </cfRule>
  </conditionalFormatting>
  <conditionalFormatting sqref="F72:F80">
    <cfRule type="containsText" dxfId="245" priority="6" operator="containsText" text="تحتاج الى اصلاح طفيف">
      <formula>NOT(ISERROR(SEARCH("تحتاج الى اصلاح طفيف",F72)))</formula>
    </cfRule>
    <cfRule type="containsText" dxfId="244" priority="1" operator="containsText" text="تحتاج الى قطع غيار">
      <formula>NOT(ISERROR(SEARCH("تحتاج الى قطع غيار",F72)))</formula>
    </cfRule>
  </conditionalFormatting>
  <conditionalFormatting sqref="F20:G20">
    <cfRule type="containsText" dxfId="243" priority="200" operator="containsText" text="الجدران الخرسانيه تالفه">
      <formula>NOT(ISERROR(SEARCH("الجدران الخرسانيه تالفه",F20)))</formula>
    </cfRule>
    <cfRule type="containsText" dxfId="242" priority="201" operator="containsText" text="يحتاج الى اعاده عزل من الداخل">
      <formula>NOT(ISERROR(SEARCH("يحتاج الى اعاده عزل من الداخل",F20)))</formula>
    </cfRule>
    <cfRule type="containsText" dxfId="241" priority="203" operator="containsText" text="تعمل بشكل جيد">
      <formula>NOT(ISERROR(SEARCH("تعمل بشكل جيد",F20)))</formula>
    </cfRule>
    <cfRule type="containsText" dxfId="240" priority="202" operator="containsText" text="تحتاج الى اصلاح طفيف( يحتاج الى عوامه او غطاء)">
      <formula>NOT(ISERROR(SEARCH("تحتاج الى اصلاح طفيف( يحتاج الى عوامه او غطاء)",F20)))</formula>
    </cfRule>
  </conditionalFormatting>
  <conditionalFormatting sqref="F21:G21">
    <cfRule type="containsText" dxfId="239" priority="196" operator="containsText" text="تالفه تماما">
      <formula>NOT(ISERROR(SEARCH("تالفه تماما",F21)))</formula>
    </cfRule>
    <cfRule type="containsText" dxfId="238" priority="197" operator="containsText" text="تحتاج الى قطع غيار">
      <formula>NOT(ISERROR(SEARCH("تحتاج الى قطع غيار",F21)))</formula>
    </cfRule>
    <cfRule type="containsText" dxfId="237" priority="198" operator="containsText" text="تحتاج الى اصلاح طفيف">
      <formula>NOT(ISERROR(SEARCH("تحتاج الى اصلاح طفيف",F21)))</formula>
    </cfRule>
    <cfRule type="containsText" dxfId="236" priority="199" operator="containsText" text="تعمل بشكل جيد">
      <formula>NOT(ISERROR(SEARCH("تعمل بشكل جيد",F21)))</formula>
    </cfRule>
  </conditionalFormatting>
  <conditionalFormatting sqref="F22:G22">
    <cfRule type="containsText" dxfId="235" priority="193" operator="containsText" text="انكسار في خطوط التغذيه او عدم مناسبه مواد المواسير او ضيق قطرها">
      <formula>NOT(ISERROR(SEARCH("انكسار في خطوط التغذيه او عدم مناسبه مواد المواسير او ضيق قطرها",F22)))</formula>
    </cfRule>
    <cfRule type="containsText" dxfId="234" priority="192" operator="containsText" text="تهالك شبكه التغذيه او عدم اتصالها بشبكه البلديه">
      <formula>NOT(ISERROR(SEARCH("تهالك شبكه التغذيه او عدم اتصالها بشبكه البلديه",F22)))</formula>
    </cfRule>
    <cfRule type="containsText" dxfId="233" priority="195" operator="containsText" text="لا يوجد اى ملاحظات">
      <formula>NOT(ISERROR(SEARCH("لا يوجد اى ملاحظات",F22)))</formula>
    </cfRule>
    <cfRule type="containsText" dxfId="232" priority="194" operator="containsText" text="تسربيات ظاهره وموضعيه">
      <formula>NOT(ISERROR(SEARCH("تسربيات ظاهره وموضعيه",F22)))</formula>
    </cfRule>
  </conditionalFormatting>
  <conditionalFormatting sqref="F23:G23">
    <cfRule type="containsText" dxfId="231" priority="191" operator="containsText" text="لا يوجد اى ملاحظات">
      <formula>NOT(ISERROR(SEARCH("لا يوجد اى ملاحظات",F23)))</formula>
    </cfRule>
    <cfRule type="containsText" dxfId="230" priority="190" operator="containsText" text="وجود ميول بقواعد ارتكاب الخزان او عدم وجود قواعد مطاطيه اسفل الخزان">
      <formula>NOT(ISERROR(SEARCH("وجود ميول بقواعد ارتكاب الخزان او عدم وجود قواعد مطاطيه اسفل الخزان",F23)))</formula>
    </cfRule>
    <cfRule type="containsText" dxfId="229" priority="189" operator="containsText" text="تهريب من بدن الخزان بالجزء العلوي">
      <formula>NOT(ISERROR(SEARCH("تهريب من بدن الخزان بالجزء العلوي",F23)))</formula>
    </cfRule>
    <cfRule type="containsText" dxfId="228" priority="188" operator="containsText" text="تهريب او انكسار بجسم الخزان من الجزء السفلي ( لا يمكن لحامه)">
      <formula>NOT(ISERROR(SEARCH("تهريب او انكسار بجسم الخزان من الجزء السفلي ( لا يمكن لحامه)",F23)))</formula>
    </cfRule>
  </conditionalFormatting>
  <conditionalFormatting sqref="F24:G25">
    <cfRule type="containsText" dxfId="227" priority="183" operator="containsText" text="لا يوجد اى ملاحظات">
      <formula>NOT(ISERROR(SEARCH("لا يوجد اى ملاحظات",F24)))</formula>
    </cfRule>
    <cfRule type="containsText" dxfId="226" priority="181" operator="containsText" text="انكسار في خطوط االتغذيه او عدم مناسبه مواد المواسير او ضيق قطرها">
      <formula>NOT(ISERROR(SEARCH("انكسار في خطوط االتغذيه او عدم مناسبه مواد المواسير او ضيق قطرها",F24)))</formula>
    </cfRule>
    <cfRule type="containsText" dxfId="225" priority="180" operator="containsText" text="تهالك شبكه التغذيه">
      <formula>NOT(ISERROR(SEARCH("تهالك شبكه التغذيه",F24)))</formula>
    </cfRule>
    <cfRule type="containsText" dxfId="224" priority="182" operator="containsText" text="تسربيات ظاهره وموضعيه">
      <formula>NOT(ISERROR(SEARCH("تسربيات ظاهره وموضعيه",F24)))</formula>
    </cfRule>
  </conditionalFormatting>
  <conditionalFormatting sqref="F26:G26">
    <cfRule type="containsText" dxfId="223" priority="179" operator="containsText" text="لا يوجد اى ملاحظات">
      <formula>NOT(ISERROR(SEARCH("لا يوجد اى ملاحظات",F26)))</formula>
    </cfRule>
    <cfRule type="containsText" dxfId="222" priority="178" operator="containsText" text="انفصال او عدم تثبيت للاجازه الصحيه">
      <formula>NOT(ISERROR(SEARCH("انفصال او عدم تثبيت للاجازه الصحيه",F26)))</formula>
    </cfRule>
    <cfRule type="containsText" dxfId="221" priority="177" operator="containsText" text="تآكل او تسريب من بدن الاجهزه الصحيه">
      <formula>NOT(ISERROR(SEARCH("تآكل او تسريب من بدن الاجهزه الصحيه",F26)))</formula>
    </cfRule>
    <cfRule type="containsText" dxfId="220" priority="176" operator="containsText" text="تكسر أجزاء من الاجهزه الصحيه او وجود حواف خطره">
      <formula>NOT(ISERROR(SEARCH("تكسر أجزاء من الاجهزه الصحيه او وجود حواف خطره",F26)))</formula>
    </cfRule>
  </conditionalFormatting>
  <conditionalFormatting sqref="F27:G27">
    <cfRule type="containsText" dxfId="219" priority="175" operator="containsText" text="لا يوجد اى ملاحظات">
      <formula>NOT(ISERROR(SEARCH("لا يوجد اى ملاحظات",F27)))</formula>
    </cfRule>
    <cfRule type="containsText" dxfId="218" priority="173" operator="containsText" text="تعطل مؤشر حراره المياه">
      <formula>NOT(ISERROR(SEARCH("تعطل مؤشر حراره المياه",F27)))</formula>
    </cfRule>
    <cfRule type="containsText" dxfId="217" priority="172" operator="containsText" text="تسربيات من جسم السخان ( قد تدؤي الى التماس مع المياه)">
      <formula>NOT(ISERROR(SEARCH("تسربيات من جسم السخان ( قد تدؤي الى التماس مع المياه)",F27)))</formula>
    </cfRule>
    <cfRule type="containsText" dxfId="216" priority="174" operator="containsText" text="تعمل وتحتاج الى اصلاح الوصلات الخارجيه  او خطوط التغذيه الكهرباء">
      <formula>NOT(ISERROR(SEARCH("تعمل وتحتاج الى اصلاح الوصلات الخارجيه  او خطوط التغذيه الكهرباء",F27)))</formula>
    </cfRule>
  </conditionalFormatting>
  <conditionalFormatting sqref="F29:G29">
    <cfRule type="containsText" dxfId="215" priority="168" operator="containsText" text="عدم وجود فتحات الصرف">
      <formula>NOT(ISERROR(SEARCH("عدم وجود فتحات الصرف",F29)))</formula>
    </cfRule>
    <cfRule type="containsText" dxfId="214" priority="170" operator="containsText" text="تكسر او عدم استواء فتحات الصرف او عدم وجود ميول">
      <formula>NOT(ISERROR(SEARCH("تكسر او عدم استواء فتحات الصرف او عدم وجود ميول",F29)))</formula>
    </cfRule>
    <cfRule type="containsText" dxfId="213" priority="171" operator="containsText" text="لا يوجد اى ملاحظات">
      <formula>NOT(ISERROR(SEARCH("لا يوجد اى ملاحظات",F29)))</formula>
    </cfRule>
    <cfRule type="containsText" dxfId="212" priority="169" operator="containsText" text="وجود حواف خطره   ">
      <formula>NOT(ISERROR(SEARCH("وجود حواف خطره   ",F29)))</formula>
    </cfRule>
  </conditionalFormatting>
  <conditionalFormatting sqref="F30:G30">
    <cfRule type="containsText" dxfId="211" priority="164" operator="containsText" text="تهالك شبكه الصرف او عدم اتصالها بشبكه الصرف للبلديه">
      <formula>NOT(ISERROR(SEARCH("تهالك شبكه الصرف او عدم اتصالها بشبكه الصرف للبلديه",F30)))</formula>
    </cfRule>
    <cfRule type="containsText" dxfId="210" priority="167" operator="containsText" text="لا يوجد اى ملاحظات">
      <formula>NOT(ISERROR(SEARCH("لا يوجد اى ملاحظات",F30)))</formula>
    </cfRule>
    <cfRule type="containsText" dxfId="209" priority="166" operator="containsText" text="تسربيات من شبكه الصرف  او ضيق بعض المواسير">
      <formula>NOT(ISERROR(SEARCH("تسربيات من شبكه الصرف  او ضيق بعض المواسير",F30)))</formula>
    </cfRule>
    <cfRule type="containsText" dxfId="208" priority="165" operator="containsText" text="تهريب من شبكات الصرف تحت العناصر المعماريه او الانشائيه">
      <formula>NOT(ISERROR(SEARCH("تهريب من شبكات الصرف تحت العناصر المعماريه او الانشائيه",F30)))</formula>
    </cfRule>
  </conditionalFormatting>
  <conditionalFormatting sqref="F31:G31">
    <cfRule type="containsText" dxfId="207" priority="162" operator="containsText" text="تسربيات ظاهره وموضعيه">
      <formula>NOT(ISERROR(SEARCH("تسربيات ظاهره وموضعيه",F31)))</formula>
    </cfRule>
    <cfRule type="containsText" dxfId="206" priority="163" operator="containsText" text="لا يوجد اى ملاحظات">
      <formula>NOT(ISERROR(SEARCH("لا يوجد اى ملاحظات",F31)))</formula>
    </cfRule>
    <cfRule type="containsText" dxfId="205" priority="160" operator="containsText" text="تهالك شبكه الصرف او عدم اتصالها بشبكه البلديه">
      <formula>NOT(ISERROR(SEARCH("تهالك شبكه الصرف او عدم اتصالها بشبكه البلديه",F31)))</formula>
    </cfRule>
    <cfRule type="containsText" dxfId="204" priority="161" operator="containsText" text="انكسار في خطوط الصرف او عدم مناسبه مواد المواسير او ضيق قطرها">
      <formula>NOT(ISERROR(SEARCH("انكسار في خطوط الصرف او عدم مناسبه مواد المواسير او ضيق قطرها",F31)))</formula>
    </cfRule>
  </conditionalFormatting>
  <conditionalFormatting sqref="F32:G32">
    <cfRule type="containsText" dxfId="203" priority="157" operator="containsText" text="عدم اتصال بعض نقاط التجميع بالبياره العموميه">
      <formula>NOT(ISERROR(SEARCH("عدم اتصال بعض نقاط التجميع بالبياره العموميه",F32)))</formula>
    </cfRule>
    <cfRule type="containsText" dxfId="202" priority="156" operator="containsText" text="عدم وجود غرف صرف  او انسداد مواسيرها وتهالكها">
      <formula>NOT(ISERROR(SEARCH("عدم وجود غرف صرف  او انسداد مواسيرها وتهالكها",F32)))</formula>
    </cfRule>
    <cfRule type="containsText" dxfId="201" priority="158" operator="containsText" text="تسربيات من  بدن غرفه التجميع ">
      <formula>NOT(ISERROR(SEARCH("تسربيات من  بدن غرفه التجميع ",F32)))</formula>
    </cfRule>
    <cfRule type="containsText" dxfId="200" priority="159" operator="containsText" text="لا يوجد اى ملاحظات">
      <formula>NOT(ISERROR(SEARCH("لا يوجد اى ملاحظات",F32)))</formula>
    </cfRule>
  </conditionalFormatting>
  <conditionalFormatting sqref="F34:G36">
    <cfRule type="containsText" dxfId="199" priority="147" operator="containsText" text="لا يوجد اى ملاحظات">
      <formula>NOT(ISERROR(SEARCH("لا يوجد اى ملاحظات",F34)))</formula>
    </cfRule>
    <cfRule type="containsText" dxfId="198" priority="144" operator="containsText" text="تالفه تماما  واو وجود توصيلات مباشره">
      <formula>NOT(ISERROR(SEARCH("تالفه تماما  واو وجود توصيلات مباشره",F34)))</formula>
    </cfRule>
    <cfRule type="containsText" dxfId="197" priority="145" operator="containsText" text="لا يوجد حمايه حراريه او  حمايه من التسرب الأرضي وتآكل أجزاء من العوازل">
      <formula>NOT(ISERROR(SEARCH("لا يوجد حمايه حراريه او  حمايه من التسرب الأرضي وتآكل أجزاء من العوازل",F34)))</formula>
    </cfRule>
    <cfRule type="containsText" dxfId="196" priority="146" operator="containsText" text="بعض الأبواب لا تعمل او او تعطل في لبمات البيان الخارجيه او العدادات">
      <formula>NOT(ISERROR(SEARCH("بعض الأبواب لا تعمل او او تعطل في لبمات البيان الخارجيه او العدادات",F34)))</formula>
    </cfRule>
  </conditionalFormatting>
  <conditionalFormatting sqref="F34:G39">
    <cfRule type="cellIs" dxfId="195" priority="326" operator="equal">
      <formula>"حرج"</formula>
    </cfRule>
    <cfRule type="cellIs" dxfId="194" priority="327" operator="equal">
      <formula>"جيد"</formula>
    </cfRule>
    <cfRule type="cellIs" dxfId="193" priority="324" operator="equal">
      <formula>"مناسب"</formula>
    </cfRule>
    <cfRule type="cellIs" dxfId="192" priority="325" operator="equal">
      <formula>"ضعيف"</formula>
    </cfRule>
  </conditionalFormatting>
  <conditionalFormatting sqref="F36:G36">
    <cfRule type="containsText" dxfId="191" priority="141" operator="containsText" text="وجود قصر كهربائي على الكابل مع التعادل او احدى الأطراف ( تالف)">
      <formula>NOT(ISERROR(SEARCH("وجود قصر كهربائي على الكابل مع التعادل او احدى الأطراف ( تالف)",F36)))</formula>
    </cfRule>
    <cfRule type="containsText" dxfId="190" priority="142" operator="containsText" text="ارتفاع حراره الكابل  او عدم مناسبه مساحه مقطع الكابل للحمل">
      <formula>NOT(ISERROR(SEARCH("ارتفاع حراره الكابل  او عدم مناسبه مساحه مقطع الكابل للحمل",F36)))</formula>
    </cfRule>
    <cfRule type="containsText" dxfId="189" priority="143" operator="containsText" text="تأكل جزئي في العزل ااو وجود تكربن في اطراف الكابلات">
      <formula>NOT(ISERROR(SEARCH("تأكل جزئي في العزل ااو وجود تكربن في اطراف الكابلات",F36)))</formula>
    </cfRule>
  </conditionalFormatting>
  <conditionalFormatting sqref="F37:G37">
    <cfRule type="containsText" dxfId="188" priority="140" operator="containsText" text="لا يوجد اى ملاحظات">
      <formula>NOT(ISERROR(SEARCH("لا يوجد اى ملاحظات",F37)))</formula>
    </cfRule>
    <cfRule type="containsText" dxfId="187" priority="139" operator="containsText" text="بعض الأبواب لا تعمل او او تعطل في لبمات البيان الخارجيه او العدادات">
      <formula>NOT(ISERROR(SEARCH("بعض الأبواب لا تعمل او او تعطل في لبمات البيان الخارجيه او العدادات",F37)))</formula>
    </cfRule>
    <cfRule type="containsText" dxfId="186" priority="138" operator="containsText" text="لا يوجد حمايه حراريه او  حمايه من التسرب الأرضي وتآكل أجزاء من العوازل">
      <formula>NOT(ISERROR(SEARCH("لا يوجد حمايه حراريه او  حمايه من التسرب الأرضي وتآكل أجزاء من العوازل",F37)))</formula>
    </cfRule>
    <cfRule type="containsText" dxfId="185" priority="137" operator="containsText" text="تالفه تماما  واو وجود توصيلات مباشره">
      <formula>NOT(ISERROR(SEARCH("تالفه تماما  واو وجود توصيلات مباشره",F37)))</formula>
    </cfRule>
  </conditionalFormatting>
  <conditionalFormatting sqref="F38:G38">
    <cfRule type="containsText" dxfId="184" priority="136" operator="containsText" text="لا يوجد اى ملاحظات">
      <formula>NOT(ISERROR(SEARCH("لا يوجد اى ملاحظات",F38)))</formula>
    </cfRule>
    <cfRule type="containsText" dxfId="183" priority="135" operator="containsText" text="تأكل جزئي في العزل ااو وجود تكربن في اطراف الكابلات">
      <formula>NOT(ISERROR(SEARCH("تأكل جزئي في العزل ااو وجود تكربن في اطراف الكابلات",F38)))</formula>
    </cfRule>
    <cfRule type="containsText" dxfId="182" priority="134" operator="containsText" text="ارتفاع حراره الكابل  او عدم مناسبه مساحه مقطع الكابل للحمل">
      <formula>NOT(ISERROR(SEARCH("ارتفاع حراره الكابل  او عدم مناسبه مساحه مقطع الكابل للحمل",F38)))</formula>
    </cfRule>
    <cfRule type="containsText" dxfId="181" priority="133" operator="containsText" text="وجود قصر كهربائي على الكابل مع التعادل او احدى الأطراف ( تالف)">
      <formula>NOT(ISERROR(SEARCH("وجود قصر كهربائي على الكابل مع التعادل او احدى الأطراف ( تالف)",F38)))</formula>
    </cfRule>
  </conditionalFormatting>
  <conditionalFormatting sqref="F39:G39">
    <cfRule type="containsText" dxfId="180" priority="130" operator="containsText" text="خطوط اتغذيه للافياش متصله على احمال عاليه مثل التكييف او غيره">
      <formula>NOT(ISERROR(SEARCH("خطوط اتغذيه للافياش متصله على احمال عاليه مثل التكييف او غيره",F39)))</formula>
    </cfRule>
    <cfRule type="containsText" dxfId="179" priority="129" operator="containsText" text="تالفه او محترقه">
      <formula>NOT(ISERROR(SEARCH("تالفه او محترقه",F39)))</formula>
    </cfRule>
    <cfRule type="containsText" dxfId="178" priority="131" operator="containsText" text="تحتاج تعديل فولت  ">
      <formula>NOT(ISERROR(SEARCH("تحتاج تعديل فولت  ",F39)))</formula>
    </cfRule>
    <cfRule type="containsText" dxfId="177" priority="132" operator="containsText" text="لا يوجد اى ملاحظات">
      <formula>NOT(ISERROR(SEARCH("لا يوجد اى ملاحظات",F39)))</formula>
    </cfRule>
  </conditionalFormatting>
  <conditionalFormatting sqref="F41:G41">
    <cfRule type="containsText" dxfId="176" priority="125" operator="containsText" text="تالفه تماما  واو وجود توصيلات مباشره">
      <formula>NOT(ISERROR(SEARCH("تالفه تماما  واو وجود توصيلات مباشره",F41)))</formula>
    </cfRule>
    <cfRule type="containsText" dxfId="175" priority="126" operator="containsText" text="لا يوجد حمايه حراريه او  حمايه من التسرب الأرضي وتآكل أجزاء من العوازل">
      <formula>NOT(ISERROR(SEARCH("لا يوجد حمايه حراريه او  حمايه من التسرب الأرضي وتآكل أجزاء من العوازل",F41)))</formula>
    </cfRule>
    <cfRule type="containsText" dxfId="174" priority="128" operator="containsText" text="لا يوجد اى ملاحظات">
      <formula>NOT(ISERROR(SEARCH("لا يوجد اى ملاحظات",F41)))</formula>
    </cfRule>
    <cfRule type="containsText" dxfId="173" priority="127" operator="containsText" text="بعض الأبواب لا تعمل او او تعطل في لبمات البيان الخارجيه او العدادات">
      <formula>NOT(ISERROR(SEARCH("بعض الأبواب لا تعمل او او تعطل في لبمات البيان الخارجيه او العدادات",F41)))</formula>
    </cfRule>
  </conditionalFormatting>
  <conditionalFormatting sqref="F41:G43 F44:F46">
    <cfRule type="cellIs" dxfId="172" priority="320" operator="equal">
      <formula>"مناسب"</formula>
    </cfRule>
    <cfRule type="cellIs" dxfId="171" priority="322" operator="equal">
      <formula>"حرج"</formula>
    </cfRule>
    <cfRule type="cellIs" dxfId="170" priority="321" operator="equal">
      <formula>"ضعيف"</formula>
    </cfRule>
    <cfRule type="cellIs" dxfId="169" priority="323" operator="equal">
      <formula>"جيد"</formula>
    </cfRule>
  </conditionalFormatting>
  <conditionalFormatting sqref="F42:G42">
    <cfRule type="containsText" dxfId="168" priority="121" operator="containsText" text="وجود قصر كهربائي على الكابل مع التعادل او احدى الأطراف ( تالف)">
      <formula>NOT(ISERROR(SEARCH("وجود قصر كهربائي على الكابل مع التعادل او احدى الأطراف ( تالف)",F42)))</formula>
    </cfRule>
    <cfRule type="containsText" dxfId="167" priority="124" operator="containsText" text="لا يوجد اى ملاحظات">
      <formula>NOT(ISERROR(SEARCH("لا يوجد اى ملاحظات",F42)))</formula>
    </cfRule>
    <cfRule type="containsText" dxfId="166" priority="122" operator="containsText" text="ارتفاع حراره الكابل  او عدم مناسبه مساحه مقطع الكابل للحمل">
      <formula>NOT(ISERROR(SEARCH("ارتفاع حراره الكابل  او عدم مناسبه مساحه مقطع الكابل للحمل",F42)))</formula>
    </cfRule>
    <cfRule type="containsText" dxfId="165" priority="123" operator="containsText" text="تأكل جزئي في العزل ااو وجود تكربن في اطراف الكابلات">
      <formula>NOT(ISERROR(SEARCH("تأكل جزئي في العزل ااو وجود تكربن في اطراف الكابلات",F42)))</formula>
    </cfRule>
  </conditionalFormatting>
  <conditionalFormatting sqref="F43:G43">
    <cfRule type="containsText" dxfId="164" priority="119" operator="containsText" text="تعمل  ومحمل عليها احمال كهربائيه اخري مثل الاضاءه">
      <formula>NOT(ISERROR(SEARCH("تعمل  ومحمل عليها احمال كهربائيه اخري مثل الاضاءه",F43)))</formula>
    </cfRule>
    <cfRule type="containsText" dxfId="163" priority="120" operator="containsText" text="لا يوجد اى ملاحظات">
      <formula>NOT(ISERROR(SEARCH("لا يوجد اى ملاحظات",F43)))</formula>
    </cfRule>
    <cfRule type="containsText" dxfId="162" priority="117" operator="containsText" text="تالفه او بها قصر كهربائي">
      <formula>NOT(ISERROR(SEARCH("تالفه او بها قصر كهربائي",F43)))</formula>
    </cfRule>
    <cfRule type="containsText" dxfId="161" priority="118" operator="containsText" text="ارتفاع في درجات حراره المفتاح عند العمل ( عدم مناسبه الحمل)">
      <formula>NOT(ISERROR(SEARCH("ارتفاع في درجات حراره المفتاح عند العمل ( عدم مناسبه الحمل)",F43)))</formula>
    </cfRule>
  </conditionalFormatting>
  <conditionalFormatting sqref="F48:G48">
    <cfRule type="containsText" dxfId="160" priority="104" operator="containsText" text="لا يوجد اى ملاحظات">
      <formula>NOT(ISERROR(SEARCH("لا يوجد اى ملاحظات",F48)))</formula>
    </cfRule>
    <cfRule type="containsText" dxfId="159" priority="103" operator="containsText" text="يوجد شروخ ظاهره او تشققات">
      <formula>NOT(ISERROR(SEARCH("يوجد شروخ ظاهره او تشققات",F48)))</formula>
    </cfRule>
    <cfRule type="containsText" dxfId="158" priority="102" operator="containsText" text="انهيار جزئي او انكشاف للحديد المسلح">
      <formula>NOT(ISERROR(SEARCH("انهيار جزئي او انكشاف للحديد المسلح",F48)))</formula>
    </cfRule>
    <cfRule type="containsText" dxfId="157" priority="101" operator="containsText" text="تاكل لشبكات الحديد المسلح او وجود انفصال وهبوط خطير">
      <formula>NOT(ISERROR(SEARCH("تاكل لشبكات الحديد المسلح او وجود انفصال وهبوط خطير",F48)))</formula>
    </cfRule>
  </conditionalFormatting>
  <conditionalFormatting sqref="F48:G57">
    <cfRule type="cellIs" dxfId="156" priority="315" operator="equal">
      <formula>"جيد"</formula>
    </cfRule>
    <cfRule type="cellIs" dxfId="155" priority="314" operator="equal">
      <formula>"حرج"</formula>
    </cfRule>
    <cfRule type="cellIs" dxfId="154" priority="312" operator="equal">
      <formula>"مناسب"</formula>
    </cfRule>
    <cfRule type="cellIs" dxfId="153" priority="313" operator="equal">
      <formula>"ضعيف"</formula>
    </cfRule>
  </conditionalFormatting>
  <conditionalFormatting sqref="F49:G51">
    <cfRule type="containsText" dxfId="152" priority="94" operator="containsText" text="يوجد شروخ ظاهره او تشققات">
      <formula>NOT(ISERROR(SEARCH("يوجد شروخ ظاهره او تشققات",F49)))</formula>
    </cfRule>
    <cfRule type="containsText" dxfId="151" priority="93" operator="containsText" text="تكسر في بعض العناصر او تلفها">
      <formula>NOT(ISERROR(SEARCH("تكسر في بعض العناصر او تلفها",F49)))</formula>
    </cfRule>
    <cfRule type="containsText" dxfId="150" priority="92" operator="containsText" text="انفصال او هبوط خطير يهدد سلامه المبني او الأشخاص">
      <formula>NOT(ISERROR(SEARCH("انفصال او هبوط خطير يهدد سلامه المبني او الأشخاص",F49)))</formula>
    </cfRule>
    <cfRule type="containsText" dxfId="149" priority="95" operator="containsText" text="لا يوجد اى ملاحظات">
      <formula>NOT(ISERROR(SEARCH("لا يوجد اى ملاحظات",F49)))</formula>
    </cfRule>
  </conditionalFormatting>
  <conditionalFormatting sqref="F50:G51">
    <cfRule type="containsText" dxfId="148" priority="96" operator="containsText" text="ضعيف">
      <formula>NOT(ISERROR(SEARCH("ضعيف",F50)))</formula>
    </cfRule>
  </conditionalFormatting>
  <conditionalFormatting sqref="F52:G52">
    <cfRule type="containsText" dxfId="147" priority="91" operator="containsText" text="لا يوجد اى ملاحظات">
      <formula>NOT(ISERROR(SEARCH("لا يوجد اى ملاحظات",F52)))</formula>
    </cfRule>
    <cfRule type="containsText" dxfId="146" priority="90" operator="containsText" text="هبوط جزئي او وجود فراغات اسفل الارضيات">
      <formula>NOT(ISERROR(SEARCH("هبوط جزئي او وجود فراغات اسفل الارضيات",F52)))</formula>
    </cfRule>
    <cfRule type="containsText" dxfId="145" priority="89" operator="containsText" text="هبوط عام او عدم وجود ارضيات( انترلوك- ترابيع اسمنتيه)">
      <formula>NOT(ISERROR(SEARCH("هبوط عام او عدم وجود ارضيات( انترلوك- ترابيع اسمنتيه)",F52)))</formula>
    </cfRule>
    <cfRule type="containsText" dxfId="144" priority="88" operator="containsText" text="انكسار او انجراف في التربه">
      <formula>NOT(ISERROR(SEARCH("انكسار او انجراف في التربه",F52)))</formula>
    </cfRule>
  </conditionalFormatting>
  <conditionalFormatting sqref="F53:G54">
    <cfRule type="containsText" dxfId="143" priority="84" operator="containsText" text="تلف في الهياكل المعدنيه الحامله او عدم وجود اقمشه">
      <formula>NOT(ISERROR(SEARCH("تلف في الهياكل المعدنيه الحامله او عدم وجود اقمشه",F53)))</formula>
    </cfRule>
    <cfRule type="containsText" dxfId="142" priority="85" operator="containsText" text="تضرر الهياكل المعدنيه الحامله">
      <formula>NOT(ISERROR(SEARCH("تضرر الهياكل المعدنيه الحامله",F53)))</formula>
    </cfRule>
    <cfRule type="containsText" dxfId="141" priority="86" operator="containsText" text="تمزق او اهتراء للشنكو">
      <formula>NOT(ISERROR(SEARCH("تمزق او اهتراء للشنكو",F53)))</formula>
    </cfRule>
    <cfRule type="containsText" dxfId="140" priority="87" operator="containsText" text="لا يوجد اى ملاحظات">
      <formula>NOT(ISERROR(SEARCH("لا يوجد اى ملاحظات",F53)))</formula>
    </cfRule>
  </conditionalFormatting>
  <conditionalFormatting sqref="F55:G55">
    <cfRule type="containsText" dxfId="139" priority="80" operator="containsText" text="عدم وجود  مواد امتصاص التمدد  ( فيلين او سيليكون او الشريحه)">
      <formula>NOT(ISERROR(SEARCH("عدم وجود  مواد امتصاص التمدد  ( فيلين او سيليكون او الشريحه)",F55)))</formula>
    </cfRule>
    <cfRule type="containsText" dxfId="138" priority="83" operator="containsText" text="لا يوجد اى ملاحظات">
      <formula>NOT(ISERROR(SEARCH("لا يوجد اى ملاحظات",F55)))</formula>
    </cfRule>
    <cfRule type="containsText" dxfId="137" priority="82" operator="containsText" text="تسرب مياه  من الفواصل">
      <formula>NOT(ISERROR(SEARCH("تسرب مياه  من الفواصل",F55)))</formula>
    </cfRule>
    <cfRule type="containsText" dxfId="136" priority="81" operator="containsText" text="انفصال وابتعاد الفواصل عن بعضها">
      <formula>NOT(ISERROR(SEARCH("انفصال وابتعاد الفواصل عن بعضها",F55)))</formula>
    </cfRule>
  </conditionalFormatting>
  <conditionalFormatting sqref="F56:G57">
    <cfRule type="containsText" dxfId="135" priority="79" operator="containsText" text="لا يوجد اى ملاحظات">
      <formula>NOT(ISERROR(SEARCH("لا يوجد اى ملاحظات",F56)))</formula>
    </cfRule>
    <cfRule type="containsText" dxfId="134" priority="78" operator="containsText" text="اختلاف في الألوان وعدم التناسق">
      <formula>NOT(ISERROR(SEARCH("اختلاف في الألوان وعدم التناسق",F56)))</formula>
    </cfRule>
    <cfRule type="containsText" dxfId="133" priority="77" operator="containsText" text="تكسر في بعض العناصر او تلفها">
      <formula>NOT(ISERROR(SEARCH("تكسر في بعض العناصر او تلفها",F56)))</formula>
    </cfRule>
    <cfRule type="containsText" dxfId="132" priority="76" operator="containsText" text="تلف او عدم وجود احدى العناصر بالكامل على الأقل">
      <formula>NOT(ISERROR(SEARCH("تلف او عدم وجود احدى العناصر بالكامل على الأقل",F56)))</formula>
    </cfRule>
  </conditionalFormatting>
  <conditionalFormatting sqref="F59:G62">
    <cfRule type="containsText" dxfId="131" priority="219" operator="containsText" text="لا يوجد اى ملاحظات">
      <formula>NOT(ISERROR(SEARCH("لا يوجد اى ملاحظات",F59)))</formula>
    </cfRule>
    <cfRule type="containsText" dxfId="130" priority="216" operator="containsText" text="تلف او عدم وجود احدى العناصر بالكامل على الأقل">
      <formula>NOT(ISERROR(SEARCH("تلف او عدم وجود احدى العناصر بالكامل على الأقل",F59)))</formula>
    </cfRule>
    <cfRule type="containsText" dxfId="129" priority="217" operator="containsText" text="تكسر في بعض العناصر او تلفها">
      <formula>NOT(ISERROR(SEARCH("تكسر في بعض العناصر او تلفها",F59)))</formula>
    </cfRule>
    <cfRule type="containsText" dxfId="128" priority="218" operator="containsText" text="اختلاف في الألوان وعدم التناسق">
      <formula>NOT(ISERROR(SEARCH("اختلاف في الألوان وعدم التناسق",F59)))</formula>
    </cfRule>
  </conditionalFormatting>
  <conditionalFormatting sqref="F63:G64">
    <cfRule type="containsText" dxfId="127" priority="212" operator="containsText" text="تحتاج الى اعاده دهان بالكامل">
      <formula>NOT(ISERROR(SEARCH("تحتاج الى اعاده دهان بالكامل",F63)))</formula>
    </cfRule>
    <cfRule type="containsText" dxfId="126" priority="213" operator="containsText" text="تلف او خدوش او كتابات ">
      <formula>NOT(ISERROR(SEARCH("تلف او خدوش او كتابات ",F63)))</formula>
    </cfRule>
    <cfRule type="containsText" dxfId="125" priority="214" operator="containsText" text="اختلاف في الألوان وعدم التناسق">
      <formula>NOT(ISERROR(SEARCH("اختلاف في الألوان وعدم التناسق",F63)))</formula>
    </cfRule>
    <cfRule type="containsText" dxfId="124" priority="215" operator="containsText" text="لا يوجد اى ملاحظات">
      <formula>NOT(ISERROR(SEARCH("لا يوجد اى ملاحظات",F63)))</formula>
    </cfRule>
  </conditionalFormatting>
  <conditionalFormatting sqref="F65:G65">
    <cfRule type="containsText" dxfId="123" priority="209" operator="containsText" text="تلف او انكسار  بعض المساحات ">
      <formula>NOT(ISERROR(SEARCH("تلف او انكسار  بعض المساحات ",F65)))</formula>
    </cfRule>
    <cfRule type="containsText" dxfId="122" priority="208" operator="containsText" text="تلف او عدم وجود سقف بشكل كامل">
      <formula>NOT(ISERROR(SEARCH("تلف او عدم وجود سقف بشكل كامل",F65)))</formula>
    </cfRule>
    <cfRule type="containsText" dxfId="121" priority="211" operator="containsText" text="لا يوجد اى ملاحظات">
      <formula>NOT(ISERROR(SEARCH("لا يوجد اى ملاحظات",F65)))</formula>
    </cfRule>
    <cfRule type="containsText" dxfId="120" priority="210" operator="containsText" text="اختلاف في الألوان او الاحجام وعدم التناسق">
      <formula>NOT(ISERROR(SEARCH("اختلاف في الألوان او الاحجام وعدم التناسق",F65)))</formula>
    </cfRule>
  </conditionalFormatting>
  <conditionalFormatting sqref="F66:G69">
    <cfRule type="containsText" dxfId="119" priority="207" operator="containsText" text="لا يوجد اى ملاحظات">
      <formula>NOT(ISERROR(SEARCH("لا يوجد اى ملاحظات",F66)))</formula>
    </cfRule>
    <cfRule type="containsText" dxfId="118" priority="204" operator="containsText" text="غير مثبته بامان او غير موجوده ">
      <formula>NOT(ISERROR(SEARCH("غير مثبته بامان او غير موجوده ",F66)))</formula>
    </cfRule>
    <cfRule type="containsText" dxfId="117" priority="205" operator="containsText" text="تلف او صدأ  او وجود نتوئات او حواف خطيره">
      <formula>NOT(ISERROR(SEARCH("تلف او صدأ  او وجود نتوئات او حواف خطيره",F66)))</formula>
    </cfRule>
    <cfRule type="containsText" dxfId="116" priority="206" operator="containsText" text="اختلاف في الألوان او الاحجام وعدم التناسق">
      <formula>NOT(ISERROR(SEARCH("اختلاف في الألوان او الاحجام وعدم التناسق",F66)))</formula>
    </cfRule>
  </conditionalFormatting>
  <conditionalFormatting sqref="F71:G80 F59:G69 F20:G27 F29:G32 H70">
    <cfRule type="cellIs" dxfId="115" priority="331" operator="equal">
      <formula>"مناسب"</formula>
    </cfRule>
    <cfRule type="cellIs" dxfId="114" priority="334" operator="equal">
      <formula>"جيد"</formula>
    </cfRule>
    <cfRule type="cellIs" dxfId="113" priority="332" operator="equal">
      <formula>"ضعيف"</formula>
    </cfRule>
    <cfRule type="cellIs" dxfId="112" priority="333" operator="equal">
      <formula>"حرج"</formula>
    </cfRule>
  </conditionalFormatting>
  <conditionalFormatting sqref="F72:G80">
    <cfRule type="containsText" dxfId="111" priority="280" operator="containsText" text="تعمل وتحتاج الى صيانه دوريه">
      <formula>NOT(ISERROR(SEARCH("تعمل وتحتاج الى صيانه دوريه",F72)))</formula>
    </cfRule>
    <cfRule type="containsText" dxfId="110" priority="282" operator="containsText" text="تعمل بشكل جيد">
      <formula>NOT(ISERROR(SEARCH("تعمل بشكل جيد",F72)))</formula>
    </cfRule>
    <cfRule type="containsText" dxfId="109" priority="278" operator="containsText" text="تالفه تماما">
      <formula>NOT(ISERROR(SEARCH("تالفه تماما",F72)))</formula>
    </cfRule>
    <cfRule type="containsText" dxfId="108" priority="277" operator="containsText" text="تعمل بشكل جيد">
      <formula>NOT(ISERROR(SEARCH("تعمل بشكل جيد",F72)))</formula>
    </cfRule>
    <cfRule type="containsText" dxfId="107" priority="279" operator="containsText" text="تعمل وتحتاج الى قطع غيار">
      <formula>NOT(ISERROR(SEARCH("تعمل وتحتاج الى قطع غيار",F72)))</formula>
    </cfRule>
  </conditionalFormatting>
  <conditionalFormatting sqref="F73:G80">
    <cfRule type="containsText" dxfId="106" priority="256" operator="containsText" text="تحتاج الى اصلاح طفيف">
      <formula>NOT(ISERROR(SEARCH("تحتاج الى اصلاح طفيف",F73)))</formula>
    </cfRule>
    <cfRule type="containsText" dxfId="105" priority="255" operator="containsText" text="بعضها لا يعمل">
      <formula>NOT(ISERROR(SEARCH("بعضها لا يعمل",F73)))</formula>
    </cfRule>
  </conditionalFormatting>
  <conditionalFormatting sqref="F76:G76">
    <cfRule type="containsText" dxfId="104" priority="275" operator="containsText" text="تعمل وبها تسربات">
      <formula>NOT(ISERROR(SEARCH("تعمل وبها تسربات",F76)))</formula>
    </cfRule>
    <cfRule type="containsText" dxfId="103" priority="273" operator="containsText" text="جميعها تالفه">
      <formula>NOT(ISERROR(SEARCH("جميعها تالفه",F76)))</formula>
    </cfRule>
    <cfRule type="containsText" dxfId="102" priority="274" operator="containsText" text="بعضها لا يعمل">
      <formula>NOT(ISERROR(SEARCH("بعضها لا يعمل",F76)))</formula>
    </cfRule>
    <cfRule type="containsText" dxfId="101" priority="276" operator="containsText" text="تعمل بشكل جيد">
      <formula>NOT(ISERROR(SEARCH("تعمل بشكل جيد",F76)))</formula>
    </cfRule>
  </conditionalFormatting>
  <conditionalFormatting sqref="F77:G77">
    <cfRule type="containsText" dxfId="100" priority="271" operator="containsText" text="تحتاج الي اصلاح طفيف ( تسربيات بسيطه)">
      <formula>NOT(ISERROR(SEARCH("تحتاج الي اصلاح طفيف ( تسربيات بسيطه)",F77)))</formula>
    </cfRule>
    <cfRule type="containsText" dxfId="99" priority="272" operator="containsText" text="تعمل بشكل جيد">
      <formula>NOT(ISERROR(SEARCH("تعمل بشكل جيد",F77)))</formula>
    </cfRule>
  </conditionalFormatting>
  <conditionalFormatting sqref="F77:G78">
    <cfRule type="containsText" dxfId="98" priority="266" operator="containsText" text="تحتاج الى قطع غيار">
      <formula>NOT(ISERROR(SEARCH("تحتاج الى قطع غيار",F77)))</formula>
    </cfRule>
    <cfRule type="containsText" dxfId="97" priority="265" operator="containsText" text="تالفه تماما">
      <formula>NOT(ISERROR(SEARCH("تالفه تماما",F77)))</formula>
    </cfRule>
  </conditionalFormatting>
  <conditionalFormatting sqref="F78:G78">
    <cfRule type="containsText" dxfId="96" priority="267" operator="containsText" text="تحتاج الي اصلاح طفيف ( تسربيات بسيطه)">
      <formula>NOT(ISERROR(SEARCH("تحتاج الي اصلاح طفيف ( تسربيات بسيطه)",F78)))</formula>
    </cfRule>
    <cfRule type="containsText" dxfId="95" priority="268" operator="containsText" text="تعمل بشكل جيد">
      <formula>NOT(ISERROR(SEARCH("تعمل بشكل جيد",F78)))</formula>
    </cfRule>
  </conditionalFormatting>
  <conditionalFormatting sqref="F79:G79">
    <cfRule type="containsText" dxfId="94" priority="264" operator="containsText" text="تعمل بشكل جيد">
      <formula>NOT(ISERROR(SEARCH("تعمل بشكل جيد",F79)))</formula>
    </cfRule>
    <cfRule type="containsText" dxfId="93" priority="261" operator="containsText" text="تالفه تماما او غير موجوده">
      <formula>NOT(ISERROR(SEARCH("تالفه تماما او غير موجوده",F79)))</formula>
    </cfRule>
    <cfRule type="containsText" dxfId="92" priority="262" operator="containsText" text="تحتاج الى استبدال">
      <formula>NOT(ISERROR(SEARCH("تحتاج الى استبدال",F79)))</formula>
    </cfRule>
    <cfRule type="containsText" dxfId="91" priority="263" operator="containsText" text="تحتاج الي اصلاح طفيف ( تسربيات بسيطه)">
      <formula>NOT(ISERROR(SEARCH("تحتاج الي اصلاح طفيف ( تسربيات بسيطه)",F79)))</formula>
    </cfRule>
  </conditionalFormatting>
  <conditionalFormatting sqref="F80:G80">
    <cfRule type="containsText" dxfId="90" priority="257" operator="containsText" text="تالفه تماما">
      <formula>NOT(ISERROR(SEARCH("تالفه تماما",F80)))</formula>
    </cfRule>
    <cfRule type="containsText" dxfId="89" priority="258" operator="containsText" text="تحتاج الى قطع غيار">
      <formula>NOT(ISERROR(SEARCH("تحتاج الى قطع غيار",F80)))</formula>
    </cfRule>
    <cfRule type="containsText" dxfId="88" priority="259" operator="containsText" text="تحتاج الي اصلاح طفيف ( تسربيات بسيطه)">
      <formula>NOT(ISERROR(SEARCH("تحتاج الي اصلاح طفيف ( تسربيات بسيطه)",F80)))</formula>
    </cfRule>
    <cfRule type="containsText" dxfId="87" priority="260" operator="containsText" text="تعمل بشكل جيد">
      <formula>NOT(ISERROR(SEARCH("تعمل بشكل جيد",F80)))</formula>
    </cfRule>
  </conditionalFormatting>
  <conditionalFormatting sqref="F82:G82">
    <cfRule type="containsText" dxfId="86" priority="242" operator="containsText" text="تالفه تماما">
      <formula>NOT(ISERROR(SEARCH("تالفه تماما",F82)))</formula>
    </cfRule>
    <cfRule type="containsText" dxfId="85" priority="243" operator="containsText" text="تحتاج الى قطع غيار">
      <formula>NOT(ISERROR(SEARCH("تحتاج الى قطع غيار",F82)))</formula>
    </cfRule>
    <cfRule type="containsText" dxfId="84" priority="244" operator="containsText" text="تحتاج الي اصلاح طفيف ( تسربيات بسيطه)">
      <formula>NOT(ISERROR(SEARCH("تحتاج الي اصلاح طفيف ( تسربيات بسيطه)",F82)))</formula>
    </cfRule>
    <cfRule type="containsText" dxfId="83" priority="245" operator="containsText" text="تعمل بشكل جيد">
      <formula>NOT(ISERROR(SEARCH("تعمل بشكل جيد",F82)))</formula>
    </cfRule>
    <cfRule type="containsText" dxfId="82" priority="230" operator="containsText" text="تعمل وليس لها بطاريه">
      <formula>NOT(ISERROR(SEARCH("تعمل وليس لها بطاريه",F82)))</formula>
    </cfRule>
    <cfRule type="containsText" dxfId="81" priority="231" operator="containsText" text="مسجله اعطال او تحتاج الى برمجه">
      <formula>NOT(ISERROR(SEARCH("مسجله اعطال او تحتاج الى برمجه",F82)))</formula>
    </cfRule>
    <cfRule type="containsText" dxfId="80" priority="229" operator="containsText" text="تالفه او غير موجوده">
      <formula>NOT(ISERROR(SEARCH("تالفه او غير موجوده",F82)))</formula>
    </cfRule>
  </conditionalFormatting>
  <conditionalFormatting sqref="F82:G84">
    <cfRule type="containsText" dxfId="79" priority="246" operator="containsText" text="تعمل بشكل جيد">
      <formula>NOT(ISERROR(SEARCH("تعمل بشكل جيد",F82)))</formula>
    </cfRule>
    <cfRule type="containsText" dxfId="78" priority="247" operator="containsText" text="تالفه تماما">
      <formula>NOT(ISERROR(SEARCH("تالفه تماما",F82)))</formula>
    </cfRule>
    <cfRule type="containsText" dxfId="77" priority="248" operator="containsText" text="تعمل وتحتاج الى قطع غيار">
      <formula>NOT(ISERROR(SEARCH("تعمل وتحتاج الى قطع غيار",F82)))</formula>
    </cfRule>
    <cfRule type="containsText" dxfId="76" priority="249" operator="containsText" text="تعمل وتحتاج الى صيانه دوريه">
      <formula>NOT(ISERROR(SEARCH("تعمل وتحتاج الى صيانه دوريه",F82)))</formula>
    </cfRule>
    <cfRule type="containsText" dxfId="75" priority="250" operator="containsText" text="تعمل بشكل جيد">
      <formula>NOT(ISERROR(SEARCH("تعمل بشكل جيد",F82)))</formula>
    </cfRule>
    <cfRule type="cellIs" dxfId="74" priority="251" operator="equal">
      <formula>"مناسب"</formula>
    </cfRule>
    <cfRule type="cellIs" dxfId="73" priority="252" operator="equal">
      <formula>"ضعيف"</formula>
    </cfRule>
    <cfRule type="cellIs" dxfId="72" priority="253" operator="equal">
      <formula>"حرج"</formula>
    </cfRule>
    <cfRule type="cellIs" dxfId="71" priority="254" operator="equal">
      <formula>"جيد"</formula>
    </cfRule>
    <cfRule type="containsText" dxfId="70" priority="232" operator="containsText" text="بعضها لا يعمل">
      <formula>NOT(ISERROR(SEARCH("بعضها لا يعمل",F82)))</formula>
    </cfRule>
    <cfRule type="containsText" dxfId="69" priority="233" operator="containsText" text="تحتاج الى اصلاح طفيف">
      <formula>NOT(ISERROR(SEARCH("تحتاج الى اصلاح طفيف",F82)))</formula>
    </cfRule>
  </conditionalFormatting>
  <conditionalFormatting sqref="F83:G83">
    <cfRule type="containsText" dxfId="68" priority="227" operator="containsText" text="يوجد تقطع  او تلف جزئي">
      <formula>NOT(ISERROR(SEARCH("يوجد تقطع  او تلف جزئي",F83)))</formula>
    </cfRule>
    <cfRule type="containsText" dxfId="67" priority="228" operator="containsText" text="شبكه الاسلاك الحراريه">
      <formula>NOT(ISERROR(SEARCH("شبكه الاسلاك الحراريه",F83)))</formula>
    </cfRule>
    <cfRule type="containsText" dxfId="66" priority="241" operator="containsText" text="تعمل بشكل جيد">
      <formula>NOT(ISERROR(SEARCH("تعمل بشكل جيد",F83)))</formula>
    </cfRule>
    <cfRule type="containsText" dxfId="65" priority="225" operator="containsText" text="غير موجوده">
      <formula>NOT(ISERROR(SEARCH("غير موجوده",F83)))</formula>
    </cfRule>
    <cfRule type="containsText" dxfId="64" priority="238" operator="containsText" text="تالفه تماما او غير موجوده">
      <formula>NOT(ISERROR(SEARCH("تالفه تماما او غير موجوده",F83)))</formula>
    </cfRule>
    <cfRule type="containsText" dxfId="63" priority="239" operator="containsText" text="تحتاج الى استبدال">
      <formula>NOT(ISERROR(SEARCH("تحتاج الى استبدال",F83)))</formula>
    </cfRule>
    <cfRule type="containsText" dxfId="62" priority="226" operator="containsText" text="لا تغطى كامل أجزاء المبني">
      <formula>NOT(ISERROR(SEARCH("لا تغطى كامل أجزاء المبني",F83)))</formula>
    </cfRule>
    <cfRule type="containsText" dxfId="61" priority="240" operator="containsText" text="تحتاج الي اصلاح طفيف ( تسربيات بسيطه)">
      <formula>NOT(ISERROR(SEARCH("تحتاج الي اصلاح طفيف ( تسربيات بسيطه)",F83)))</formula>
    </cfRule>
  </conditionalFormatting>
  <conditionalFormatting sqref="F84:G84">
    <cfRule type="containsText" dxfId="60" priority="235" operator="containsText" text="تحتاج الى قطع غيار">
      <formula>NOT(ISERROR(SEARCH("تحتاج الى قطع غيار",F84)))</formula>
    </cfRule>
    <cfRule type="containsText" dxfId="59" priority="236" operator="containsText" text="تحتاج الي اصلاح طفيف ( تسربيات بسيطه)">
      <formula>NOT(ISERROR(SEARCH("تحتاج الي اصلاح طفيف ( تسربيات بسيطه)",F84)))</formula>
    </cfRule>
    <cfRule type="containsText" dxfId="58" priority="237" operator="containsText" text="تعمل بشكل جيد">
      <formula>NOT(ISERROR(SEARCH("تعمل بشكل جيد",F84)))</formula>
    </cfRule>
    <cfRule type="containsText" dxfId="57" priority="234" operator="containsText" text="تالفه تماما">
      <formula>NOT(ISERROR(SEARCH("تالفه تماما",F84)))</formula>
    </cfRule>
    <cfRule type="containsText" dxfId="56" priority="220" operator="containsText" text="تحتاج الى تنظيف او برمجه">
      <formula>NOT(ISERROR(SEARCH("تحتاج الى تنظيف او برمجه",F84)))</formula>
    </cfRule>
    <cfRule type="containsText" dxfId="55" priority="221" operator="containsText" text="تحتاج الى تنظيف او برمجه">
      <formula>NOT(ISERROR(SEARCH("تحتاج الى تنظيف او برمجه",F84)))</formula>
    </cfRule>
    <cfRule type="containsText" dxfId="54" priority="222" operator="containsText" text="تالفه او غير موجوده">
      <formula>NOT(ISERROR(SEARCH("تالفه او غير موجوده",F84)))</formula>
    </cfRule>
    <cfRule type="containsText" dxfId="53" priority="223" operator="containsText" text="تعطل جزئي">
      <formula>NOT(ISERROR(SEARCH("تعطل جزئي",F84)))</formula>
    </cfRule>
    <cfRule type="containsText" dxfId="52" priority="224" operator="containsText" text="تحتاج الى تنظيف او برمجه">
      <formula>NOT(ISERROR(SEARCH("تحتاج الى تنظيف او برمجه",F84)))</formula>
    </cfRule>
  </conditionalFormatting>
  <conditionalFormatting sqref="H20">
    <cfRule type="containsText" dxfId="51" priority="66" operator="containsText" text="مناسب">
      <formula>NOT(ISERROR(SEARCH("مناسب",H20)))</formula>
    </cfRule>
    <cfRule type="containsText" dxfId="50" priority="64" operator="containsText" text="حرج">
      <formula>NOT(ISERROR(SEARCH("حرج",H20)))</formula>
    </cfRule>
    <cfRule type="containsText" dxfId="49" priority="65" operator="containsText" text="ضعيف">
      <formula>NOT(ISERROR(SEARCH("ضعيف",H20)))</formula>
    </cfRule>
    <cfRule type="containsText" dxfId="48" priority="67" operator="containsText" text="جيد">
      <formula>NOT(ISERROR(SEARCH("جيد",H20)))</formula>
    </cfRule>
  </conditionalFormatting>
  <conditionalFormatting sqref="H29">
    <cfRule type="containsText" dxfId="47" priority="57" operator="containsText" text="ضعيف">
      <formula>NOT(ISERROR(SEARCH("ضعيف",H29)))</formula>
    </cfRule>
    <cfRule type="containsText" dxfId="46" priority="58" operator="containsText" text="مناسب">
      <formula>NOT(ISERROR(SEARCH("مناسب",H29)))</formula>
    </cfRule>
    <cfRule type="containsText" dxfId="45" priority="59" operator="containsText" text="جيد">
      <formula>NOT(ISERROR(SEARCH("جيد",H29)))</formula>
    </cfRule>
    <cfRule type="containsText" dxfId="44" priority="56" operator="containsText" text="حرج">
      <formula>NOT(ISERROR(SEARCH("حرج",H29)))</formula>
    </cfRule>
  </conditionalFormatting>
  <conditionalFormatting sqref="H34">
    <cfRule type="containsText" dxfId="43" priority="54" operator="containsText" text="مناسب">
      <formula>NOT(ISERROR(SEARCH("مناسب",H34)))</formula>
    </cfRule>
    <cfRule type="containsText" dxfId="42" priority="52" operator="containsText" text="حرج">
      <formula>NOT(ISERROR(SEARCH("حرج",H34)))</formula>
    </cfRule>
    <cfRule type="containsText" dxfId="41" priority="53" operator="containsText" text="ضعيف">
      <formula>NOT(ISERROR(SEARCH("ضعيف",H34)))</formula>
    </cfRule>
    <cfRule type="containsText" dxfId="40" priority="55" operator="containsText" text="جيد">
      <formula>NOT(ISERROR(SEARCH("جيد",H34)))</formula>
    </cfRule>
  </conditionalFormatting>
  <conditionalFormatting sqref="H41">
    <cfRule type="containsText" dxfId="39" priority="49" operator="containsText" text="ضعيف">
      <formula>NOT(ISERROR(SEARCH("ضعيف",H41)))</formula>
    </cfRule>
    <cfRule type="containsText" dxfId="38" priority="50" operator="containsText" text="مناسب">
      <formula>NOT(ISERROR(SEARCH("مناسب",H41)))</formula>
    </cfRule>
    <cfRule type="containsText" dxfId="37" priority="51" operator="containsText" text="جيد">
      <formula>NOT(ISERROR(SEARCH("جيد",H41)))</formula>
    </cfRule>
    <cfRule type="containsText" dxfId="36" priority="48" operator="containsText" text="حرج">
      <formula>NOT(ISERROR(SEARCH("حرج",H41)))</formula>
    </cfRule>
  </conditionalFormatting>
  <conditionalFormatting sqref="H48">
    <cfRule type="containsText" dxfId="35" priority="44" operator="containsText" text="حرج">
      <formula>NOT(ISERROR(SEARCH("حرج",H48)))</formula>
    </cfRule>
    <cfRule type="containsText" dxfId="34" priority="45" operator="containsText" text="ضعيف">
      <formula>NOT(ISERROR(SEARCH("ضعيف",H48)))</formula>
    </cfRule>
    <cfRule type="containsText" dxfId="33" priority="46" operator="containsText" text="مناسب">
      <formula>NOT(ISERROR(SEARCH("مناسب",H48)))</formula>
    </cfRule>
    <cfRule type="containsText" dxfId="32" priority="47" operator="containsText" text="جيد">
      <formula>NOT(ISERROR(SEARCH("جيد",H48)))</formula>
    </cfRule>
  </conditionalFormatting>
  <conditionalFormatting sqref="H59">
    <cfRule type="containsText" dxfId="31" priority="42" operator="containsText" text="مناسب">
      <formula>NOT(ISERROR(SEARCH("مناسب",H59)))</formula>
    </cfRule>
    <cfRule type="containsText" dxfId="30" priority="40" operator="containsText" text="حرج">
      <formula>NOT(ISERROR(SEARCH("حرج",H59)))</formula>
    </cfRule>
    <cfRule type="containsText" dxfId="29" priority="43" operator="containsText" text="جيد">
      <formula>NOT(ISERROR(SEARCH("جيد",H59)))</formula>
    </cfRule>
    <cfRule type="containsText" dxfId="28" priority="41" operator="containsText" text="ضعيف">
      <formula>NOT(ISERROR(SEARCH("ضعيف",H59)))</formula>
    </cfRule>
  </conditionalFormatting>
  <conditionalFormatting sqref="H71">
    <cfRule type="containsText" dxfId="27" priority="39" operator="containsText" text="جيد">
      <formula>NOT(ISERROR(SEARCH("جيد",H71)))</formula>
    </cfRule>
    <cfRule type="containsText" dxfId="26" priority="38" operator="containsText" text="مناسب">
      <formula>NOT(ISERROR(SEARCH("مناسب",H71)))</formula>
    </cfRule>
    <cfRule type="containsText" dxfId="25" priority="37" operator="containsText" text="ضعيف">
      <formula>NOT(ISERROR(SEARCH("ضعيف",H71)))</formula>
    </cfRule>
    <cfRule type="containsText" dxfId="24" priority="36" operator="containsText" text="حرج">
      <formula>NOT(ISERROR(SEARCH("حرج",H71)))</formula>
    </cfRule>
  </conditionalFormatting>
  <conditionalFormatting sqref="H81">
    <cfRule type="cellIs" dxfId="23" priority="287" operator="equal">
      <formula>"مناسب"</formula>
    </cfRule>
    <cfRule type="cellIs" dxfId="22" priority="288" operator="equal">
      <formula>"ضعيف"</formula>
    </cfRule>
    <cfRule type="cellIs" dxfId="21" priority="289" operator="equal">
      <formula>"حرج"</formula>
    </cfRule>
    <cfRule type="cellIs" dxfId="20" priority="290" operator="equal">
      <formula>"جيد"</formula>
    </cfRule>
  </conditionalFormatting>
  <conditionalFormatting sqref="H82">
    <cfRule type="containsText" dxfId="19" priority="35" operator="containsText" text="جيد">
      <formula>NOT(ISERROR(SEARCH("جيد",H82)))</formula>
    </cfRule>
    <cfRule type="containsText" dxfId="18" priority="34" operator="containsText" text="مناسب">
      <formula>NOT(ISERROR(SEARCH("مناسب",H82)))</formula>
    </cfRule>
    <cfRule type="containsText" dxfId="17" priority="33" operator="containsText" text="ضعيف">
      <formula>NOT(ISERROR(SEARCH("ضعيف",H82)))</formula>
    </cfRule>
    <cfRule type="containsText" dxfId="16" priority="32" operator="containsText" text="حرج">
      <formula>NOT(ISERROR(SEARCH("حرج",H82)))</formula>
    </cfRule>
  </conditionalFormatting>
  <conditionalFormatting sqref="H15:K16">
    <cfRule type="containsText" dxfId="15" priority="69" operator="containsText" text="ضعيف">
      <formula>NOT(ISERROR(SEARCH("ضعيف",H15)))</formula>
    </cfRule>
    <cfRule type="containsText" dxfId="14" priority="70" operator="containsText" text="مناسب">
      <formula>NOT(ISERROR(SEARCH("مناسب",H15)))</formula>
    </cfRule>
    <cfRule type="containsText" dxfId="13" priority="71" operator="containsText" text="جيد">
      <formula>NOT(ISERROR(SEARCH("جيد",H15)))</formula>
    </cfRule>
    <cfRule type="containsText" dxfId="12" priority="68" operator="containsText" text="حرج">
      <formula>NOT(ISERROR(SEARCH("حرج",H15)))</formula>
    </cfRule>
  </conditionalFormatting>
  <conditionalFormatting sqref="I20:I27 I29:I32 I34:I39 I41:I46 I48:I57 I59:I69 I70:J70 I71:I85">
    <cfRule type="cellIs" dxfId="11" priority="299" operator="equal">
      <formula>"جيد"</formula>
    </cfRule>
    <cfRule type="cellIs" dxfId="10" priority="300" operator="equal">
      <formula>"مناسب"</formula>
    </cfRule>
    <cfRule type="cellIs" dxfId="9" priority="302" operator="equal">
      <formula>"حرج"</formula>
    </cfRule>
    <cfRule type="cellIs" dxfId="8" priority="301" operator="equal">
      <formula>"ضعيف"</formula>
    </cfRule>
  </conditionalFormatting>
  <conditionalFormatting sqref="L21">
    <cfRule type="cellIs" dxfId="7" priority="27" operator="equal">
      <formula>"مناسب"</formula>
    </cfRule>
    <cfRule type="containsText" dxfId="6" priority="26" operator="containsText" text="تعمل بشكل جيد">
      <formula>NOT(ISERROR(SEARCH("تعمل بشكل جيد",L21)))</formula>
    </cfRule>
    <cfRule type="containsText" dxfId="5" priority="25" operator="containsText" text="تحتاج الى اصلاح طفيف( يحتاج الى عوامه او غطاء)">
      <formula>NOT(ISERROR(SEARCH("تحتاج الى اصلاح طفيف( يحتاج الى عوامه او غطاء)",L21)))</formula>
    </cfRule>
    <cfRule type="containsText" dxfId="4" priority="23" operator="containsText" text="الجدران الخرسانيه تالفه">
      <formula>NOT(ISERROR(SEARCH("الجدران الخرسانيه تالفه",L21)))</formula>
    </cfRule>
    <cfRule type="cellIs" dxfId="3" priority="29" operator="equal">
      <formula>"حرج"</formula>
    </cfRule>
    <cfRule type="cellIs" dxfId="2" priority="28" operator="equal">
      <formula>"ضعيف"</formula>
    </cfRule>
    <cfRule type="containsText" dxfId="1" priority="24" operator="containsText" text="يحتاج الى اعاده عزل من الداخل">
      <formula>NOT(ISERROR(SEARCH("يحتاج الى اعاده عزل من الداخل",L21)))</formula>
    </cfRule>
    <cfRule type="cellIs" dxfId="0" priority="30" operator="equal">
      <formula>"جيد"</formula>
    </cfRule>
  </conditionalFormatting>
  <dataValidations count="1">
    <dataValidation type="list" allowBlank="1" showInputMessage="1" showErrorMessage="1" sqref="H81 H70" xr:uid="{00000000-0002-0000-0100-000000000000}">
      <formula1>"جيد,مناسب,ضعيف,حرج"</formula1>
    </dataValidation>
  </dataValidations>
  <printOptions horizontalCentered="1"/>
  <pageMargins left="0.2" right="0.2" top="0.75" bottom="0.75" header="0.3" footer="0.3"/>
  <pageSetup paperSize="8" scale="83" orientation="portrait" r:id="rId1"/>
  <rowBreaks count="1" manualBreakCount="1">
    <brk id="57" max="16383" man="1"/>
  </rowBreaks>
  <drawing r:id="rId2"/>
  <extLst>
    <ext xmlns:x14="http://schemas.microsoft.com/office/spreadsheetml/2009/9/main" uri="{CCE6A557-97BC-4b89-ADB6-D9C93CAAB3DF}">
      <x14:dataValidations xmlns:xm="http://schemas.microsoft.com/office/excel/2006/main" count="40">
        <x14:dataValidation type="list" allowBlank="1" showInputMessage="1" showErrorMessage="1" xr:uid="{00000000-0002-0000-0100-000001000000}">
          <x14:formula1>
            <xm:f>List!$F$6:$F$9</xm:f>
          </x14:formula1>
          <xm:sqref>F72:G80</xm:sqref>
        </x14:dataValidation>
        <x14:dataValidation type="list" allowBlank="1" showInputMessage="1" showErrorMessage="1" xr:uid="{00000000-0002-0000-0100-000002000000}">
          <x14:formula1>
            <xm:f>List!$D$6:$D$9</xm:f>
          </x14:formula1>
          <xm:sqref>F71:G71</xm:sqref>
        </x14:dataValidation>
        <x14:dataValidation type="list" allowBlank="1" showInputMessage="1" showErrorMessage="1" xr:uid="{00000000-0002-0000-0100-000003000000}">
          <x14:formula1>
            <xm:f>List!$D$13:$D$16</xm:f>
          </x14:formula1>
          <xm:sqref>F82:G82</xm:sqref>
        </x14:dataValidation>
        <x14:dataValidation type="list" allowBlank="1" showInputMessage="1" showErrorMessage="1" xr:uid="{00000000-0002-0000-0100-000004000000}">
          <x14:formula1>
            <xm:f>List!$F$13:$F$16</xm:f>
          </x14:formula1>
          <xm:sqref>F83:G83</xm:sqref>
        </x14:dataValidation>
        <x14:dataValidation type="list" allowBlank="1" showInputMessage="1" showErrorMessage="1" xr:uid="{00000000-0002-0000-0100-000005000000}">
          <x14:formula1>
            <xm:f>List!$H$13:$H$16</xm:f>
          </x14:formula1>
          <xm:sqref>F84:G84</xm:sqref>
        </x14:dataValidation>
        <x14:dataValidation type="list" allowBlank="1" showInputMessage="1" showErrorMessage="1" xr:uid="{00000000-0002-0000-0100-000006000000}">
          <x14:formula1>
            <xm:f>List!$D$20:$D$23</xm:f>
          </x14:formula1>
          <xm:sqref>F59:G62</xm:sqref>
        </x14:dataValidation>
        <x14:dataValidation type="list" allowBlank="1" showInputMessage="1" showErrorMessage="1" xr:uid="{00000000-0002-0000-0100-000007000000}">
          <x14:formula1>
            <xm:f>List!$L$20:$L$23</xm:f>
          </x14:formula1>
          <xm:sqref>F63:G64</xm:sqref>
        </x14:dataValidation>
        <x14:dataValidation type="list" allowBlank="1" showInputMessage="1" showErrorMessage="1" xr:uid="{00000000-0002-0000-0100-000008000000}">
          <x14:formula1>
            <xm:f>List!$P$20:$P$23</xm:f>
          </x14:formula1>
          <xm:sqref>F65:G65</xm:sqref>
        </x14:dataValidation>
        <x14:dataValidation type="list" allowBlank="1" showInputMessage="1" showErrorMessage="1" xr:uid="{00000000-0002-0000-0100-000009000000}">
          <x14:formula1>
            <xm:f>List!$R$20:$R$23</xm:f>
          </x14:formula1>
          <xm:sqref>F66:G69</xm:sqref>
        </x14:dataValidation>
        <x14:dataValidation type="list" allowBlank="1" showInputMessage="1" showErrorMessage="1" xr:uid="{00000000-0002-0000-0100-00000A000000}">
          <x14:formula1>
            <xm:f>List!$D$55:$D$58</xm:f>
          </x14:formula1>
          <xm:sqref>F20:G20</xm:sqref>
        </x14:dataValidation>
        <x14:dataValidation type="list" allowBlank="1" showInputMessage="1" showErrorMessage="1" xr:uid="{00000000-0002-0000-0100-00000B000000}">
          <x14:formula1>
            <xm:f>List!$F$55:$F$58</xm:f>
          </x14:formula1>
          <xm:sqref>F21:G21</xm:sqref>
        </x14:dataValidation>
        <x14:dataValidation type="list" allowBlank="1" showInputMessage="1" showErrorMessage="1" xr:uid="{00000000-0002-0000-0100-00000C000000}">
          <x14:formula1>
            <xm:f>List!$H$55:$H$58</xm:f>
          </x14:formula1>
          <xm:sqref>F22:G22</xm:sqref>
        </x14:dataValidation>
        <x14:dataValidation type="list" allowBlank="1" showInputMessage="1" showErrorMessage="1" xr:uid="{00000000-0002-0000-0100-00000D000000}">
          <x14:formula1>
            <xm:f>List!$J$55:$J$58</xm:f>
          </x14:formula1>
          <xm:sqref>F23:G23</xm:sqref>
        </x14:dataValidation>
        <x14:dataValidation type="list" allowBlank="1" showInputMessage="1" showErrorMessage="1" xr:uid="{00000000-0002-0000-0100-00000E000000}">
          <x14:formula1>
            <xm:f>List!$L$55:$L$58</xm:f>
          </x14:formula1>
          <xm:sqref>F24:G24</xm:sqref>
        </x14:dataValidation>
        <x14:dataValidation type="list" allowBlank="1" showInputMessage="1" showErrorMessage="1" xr:uid="{00000000-0002-0000-0100-00000F000000}">
          <x14:formula1>
            <xm:f>List!$N$55:$N$58</xm:f>
          </x14:formula1>
          <xm:sqref>F25:G25</xm:sqref>
        </x14:dataValidation>
        <x14:dataValidation type="list" allowBlank="1" showInputMessage="1" showErrorMessage="1" xr:uid="{00000000-0002-0000-0100-000010000000}">
          <x14:formula1>
            <xm:f>List!$P$55:$P$58</xm:f>
          </x14:formula1>
          <xm:sqref>F26:G26</xm:sqref>
        </x14:dataValidation>
        <x14:dataValidation type="list" allowBlank="1" showInputMessage="1" showErrorMessage="1" xr:uid="{00000000-0002-0000-0100-000011000000}">
          <x14:formula1>
            <xm:f>List!$R$55:$R$58</xm:f>
          </x14:formula1>
          <xm:sqref>F27:G27</xm:sqref>
        </x14:dataValidation>
        <x14:dataValidation type="list" allowBlank="1" showInputMessage="1" showErrorMessage="1" xr:uid="{00000000-0002-0000-0100-000012000000}">
          <x14:formula1>
            <xm:f>List!$D$48:$D$51</xm:f>
          </x14:formula1>
          <xm:sqref>F29:G29</xm:sqref>
        </x14:dataValidation>
        <x14:dataValidation type="list" allowBlank="1" showInputMessage="1" showErrorMessage="1" xr:uid="{00000000-0002-0000-0100-000013000000}">
          <x14:formula1>
            <xm:f>List!$F$48:$F$51</xm:f>
          </x14:formula1>
          <xm:sqref>F30:G30</xm:sqref>
        </x14:dataValidation>
        <x14:dataValidation type="list" allowBlank="1" showInputMessage="1" showErrorMessage="1" xr:uid="{00000000-0002-0000-0100-000014000000}">
          <x14:formula1>
            <xm:f>List!$H$48:$H$51</xm:f>
          </x14:formula1>
          <xm:sqref>F31:G31</xm:sqref>
        </x14:dataValidation>
        <x14:dataValidation type="list" allowBlank="1" showInputMessage="1" showErrorMessage="1" xr:uid="{00000000-0002-0000-0100-000015000000}">
          <x14:formula1>
            <xm:f>List!$J$48:$J$51</xm:f>
          </x14:formula1>
          <xm:sqref>F32:G32</xm:sqref>
        </x14:dataValidation>
        <x14:dataValidation type="list" allowBlank="1" showInputMessage="1" showErrorMessage="1" xr:uid="{00000000-0002-0000-0100-000016000000}">
          <x14:formula1>
            <xm:f>List!$D$41:$D$44</xm:f>
          </x14:formula1>
          <xm:sqref>F34:G34</xm:sqref>
        </x14:dataValidation>
        <x14:dataValidation type="list" allowBlank="1" showInputMessage="1" showErrorMessage="1" xr:uid="{00000000-0002-0000-0100-000017000000}">
          <x14:formula1>
            <xm:f>List!$F$41:$F$44</xm:f>
          </x14:formula1>
          <xm:sqref>F35:G35</xm:sqref>
        </x14:dataValidation>
        <x14:dataValidation type="list" allowBlank="1" showInputMessage="1" showErrorMessage="1" xr:uid="{00000000-0002-0000-0100-000018000000}">
          <x14:formula1>
            <xm:f>List!$H$41:$H$44</xm:f>
          </x14:formula1>
          <xm:sqref>F36:G36</xm:sqref>
        </x14:dataValidation>
        <x14:dataValidation type="list" allowBlank="1" showInputMessage="1" showErrorMessage="1" xr:uid="{00000000-0002-0000-0100-000019000000}">
          <x14:formula1>
            <xm:f>List!$J$41:$J$44</xm:f>
          </x14:formula1>
          <xm:sqref>F37:G37</xm:sqref>
        </x14:dataValidation>
        <x14:dataValidation type="list" allowBlank="1" showInputMessage="1" showErrorMessage="1" xr:uid="{00000000-0002-0000-0100-00001A000000}">
          <x14:formula1>
            <xm:f>List!$L$41:$L$44</xm:f>
          </x14:formula1>
          <xm:sqref>F38:G38</xm:sqref>
        </x14:dataValidation>
        <x14:dataValidation type="list" allowBlank="1" showInputMessage="1" showErrorMessage="1" xr:uid="{00000000-0002-0000-0100-00001B000000}">
          <x14:formula1>
            <xm:f>List!$N$41:$N$44</xm:f>
          </x14:formula1>
          <xm:sqref>F39:G39</xm:sqref>
        </x14:dataValidation>
        <x14:dataValidation type="list" allowBlank="1" showInputMessage="1" showErrorMessage="1" xr:uid="{00000000-0002-0000-0100-00001C000000}">
          <x14:formula1>
            <xm:f>List!$D$34:$D$37</xm:f>
          </x14:formula1>
          <xm:sqref>F41:G41</xm:sqref>
        </x14:dataValidation>
        <x14:dataValidation type="list" allowBlank="1" showInputMessage="1" showErrorMessage="1" xr:uid="{00000000-0002-0000-0100-00001D000000}">
          <x14:formula1>
            <xm:f>List!$F$34:$F$37</xm:f>
          </x14:formula1>
          <xm:sqref>F42:G42</xm:sqref>
        </x14:dataValidation>
        <x14:dataValidation type="list" allowBlank="1" showInputMessage="1" showErrorMessage="1" xr:uid="{00000000-0002-0000-0100-00001E000000}">
          <x14:formula1>
            <xm:f>List!$J$34:$J$37</xm:f>
          </x14:formula1>
          <xm:sqref>F43:F44 G43</xm:sqref>
        </x14:dataValidation>
        <x14:dataValidation type="list" allowBlank="1" showInputMessage="1" showErrorMessage="1" xr:uid="{00000000-0002-0000-0100-00001F000000}">
          <x14:formula1>
            <xm:f>List!$L$34:$L$37</xm:f>
          </x14:formula1>
          <xm:sqref>F45</xm:sqref>
        </x14:dataValidation>
        <x14:dataValidation type="list" allowBlank="1" showInputMessage="1" showErrorMessage="1" xr:uid="{00000000-0002-0000-0100-000020000000}">
          <x14:formula1>
            <xm:f>List!$N$34:$N$37</xm:f>
          </x14:formula1>
          <xm:sqref>F46</xm:sqref>
        </x14:dataValidation>
        <x14:dataValidation type="list" allowBlank="1" showInputMessage="1" showErrorMessage="1" xr:uid="{00000000-0002-0000-0100-000021000000}">
          <x14:formula1>
            <xm:f>List!$D$27:$D$30</xm:f>
          </x14:formula1>
          <xm:sqref>F48:G48</xm:sqref>
        </x14:dataValidation>
        <x14:dataValidation type="list" allowBlank="1" showInputMessage="1" showErrorMessage="1" xr:uid="{00000000-0002-0000-0100-000022000000}">
          <x14:formula1>
            <xm:f>List!$F$27:$F$30</xm:f>
          </x14:formula1>
          <xm:sqref>F49:G49</xm:sqref>
        </x14:dataValidation>
        <x14:dataValidation type="list" allowBlank="1" showInputMessage="1" showErrorMessage="1" xr:uid="{00000000-0002-0000-0100-000023000000}">
          <x14:formula1>
            <xm:f>List!$H$27:$H$30</xm:f>
          </x14:formula1>
          <xm:sqref>F50:G51</xm:sqref>
        </x14:dataValidation>
        <x14:dataValidation type="list" allowBlank="1" showInputMessage="1" showErrorMessage="1" xr:uid="{00000000-0002-0000-0100-000024000000}">
          <x14:formula1>
            <xm:f>List!$L$27:$L$30</xm:f>
          </x14:formula1>
          <xm:sqref>F52:G52</xm:sqref>
        </x14:dataValidation>
        <x14:dataValidation type="list" allowBlank="1" showInputMessage="1" showErrorMessage="1" xr:uid="{00000000-0002-0000-0100-000025000000}">
          <x14:formula1>
            <xm:f>List!$N$27:$N$30</xm:f>
          </x14:formula1>
          <xm:sqref>F53:G54</xm:sqref>
        </x14:dataValidation>
        <x14:dataValidation type="list" allowBlank="1" showInputMessage="1" showErrorMessage="1" xr:uid="{00000000-0002-0000-0100-000026000000}">
          <x14:formula1>
            <xm:f>List!$R$27:$R$30</xm:f>
          </x14:formula1>
          <xm:sqref>F55:G55</xm:sqref>
        </x14:dataValidation>
        <x14:dataValidation type="list" allowBlank="1" showInputMessage="1" showErrorMessage="1" xr:uid="{00000000-0002-0000-0100-000027000000}">
          <x14:formula1>
            <xm:f>List!$V$27:$V$30</xm:f>
          </x14:formula1>
          <xm:sqref>F56:G57</xm:sqref>
        </x14:dataValidation>
        <x14:dataValidation type="list" allowBlank="1" showInputMessage="1" showErrorMessage="1" xr:uid="{00000000-0002-0000-0100-000028000000}">
          <x14:formula1>
            <xm:f>List!$X$47:$X$50</xm:f>
          </x14:formula1>
          <xm:sqref>H15:K16 H20 H29:H32 H34 H41:H46 H48 H59 H71:H80 H82:H84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3"/>
  <sheetViews>
    <sheetView showGridLines="0" rightToLeft="1" topLeftCell="A10" zoomScale="85" zoomScaleNormal="85" zoomScaleSheetLayoutView="85" workbookViewId="0">
      <selection activeCell="I15" sqref="I15"/>
    </sheetView>
  </sheetViews>
  <sheetFormatPr defaultColWidth="12" defaultRowHeight="30" customHeight="1"/>
  <cols>
    <col min="1" max="1" width="7.88671875" style="1" customWidth="1"/>
    <col min="2" max="2" width="12.88671875" style="1" customWidth="1"/>
    <col min="3" max="3" width="12.6640625" style="1" customWidth="1"/>
    <col min="4" max="4" width="31.88671875" style="3" customWidth="1"/>
    <col min="5" max="5" width="12.6640625" style="3" customWidth="1"/>
    <col min="6" max="7" width="13.88671875" style="1" customWidth="1"/>
    <col min="8" max="8" width="17.109375" style="1" customWidth="1"/>
    <col min="9" max="9" width="20" style="1" customWidth="1"/>
    <col min="10" max="10" width="17.109375" style="1" customWidth="1"/>
    <col min="11" max="11" width="19" style="1" customWidth="1"/>
    <col min="12" max="16384" width="12" style="1"/>
  </cols>
  <sheetData>
    <row r="1" spans="1:11" ht="72" customHeight="1"/>
    <row r="2" spans="1:11" ht="27.6" customHeight="1">
      <c r="A2" s="176" t="s">
        <v>244</v>
      </c>
      <c r="B2" s="176"/>
      <c r="C2" s="176"/>
      <c r="D2" s="176"/>
      <c r="E2" s="176"/>
      <c r="F2" s="176"/>
      <c r="G2" s="176"/>
      <c r="H2" s="177"/>
      <c r="I2" s="177"/>
      <c r="J2" s="177"/>
      <c r="K2" s="176"/>
    </row>
    <row r="3" spans="1:11" ht="27.45" customHeight="1">
      <c r="A3" s="176"/>
      <c r="B3" s="176"/>
      <c r="C3" s="176"/>
      <c r="D3" s="176"/>
      <c r="E3" s="176"/>
      <c r="F3" s="176"/>
      <c r="G3" s="176"/>
      <c r="H3" s="177"/>
      <c r="I3" s="177"/>
      <c r="J3" s="177"/>
      <c r="K3" s="176"/>
    </row>
    <row r="4" spans="1:11" ht="34.5" customHeight="1">
      <c r="A4" s="178" t="s">
        <v>64</v>
      </c>
      <c r="B4" s="135"/>
      <c r="C4" s="179"/>
      <c r="D4" s="180"/>
      <c r="E4" s="74"/>
      <c r="F4" s="178" t="s">
        <v>72</v>
      </c>
      <c r="G4" s="135"/>
      <c r="H4" s="181"/>
      <c r="I4" s="182"/>
      <c r="J4" s="182"/>
      <c r="K4" s="183"/>
    </row>
    <row r="5" spans="1:11" ht="34.200000000000003" customHeight="1">
      <c r="A5" s="129" t="s">
        <v>0</v>
      </c>
      <c r="B5" s="130"/>
      <c r="C5" s="151"/>
      <c r="D5" s="152"/>
      <c r="E5" s="73"/>
      <c r="F5" s="129" t="s">
        <v>73</v>
      </c>
      <c r="G5" s="130"/>
      <c r="H5" s="173"/>
      <c r="I5" s="174"/>
      <c r="J5" s="174"/>
      <c r="K5" s="175"/>
    </row>
    <row r="6" spans="1:11" ht="34.5" customHeight="1">
      <c r="A6" s="129" t="s">
        <v>65</v>
      </c>
      <c r="B6" s="130"/>
      <c r="C6" s="151"/>
      <c r="D6" s="152"/>
      <c r="E6" s="73"/>
      <c r="F6" s="129" t="s">
        <v>0</v>
      </c>
      <c r="G6" s="130"/>
      <c r="H6" s="173"/>
      <c r="I6" s="174"/>
      <c r="J6" s="174"/>
      <c r="K6" s="175"/>
    </row>
    <row r="7" spans="1:11" ht="34.5" customHeight="1">
      <c r="A7" s="129" t="s">
        <v>66</v>
      </c>
      <c r="B7" s="130"/>
      <c r="C7" s="151"/>
      <c r="D7" s="152"/>
      <c r="E7" s="73"/>
      <c r="F7" s="129" t="s">
        <v>74</v>
      </c>
      <c r="G7" s="130"/>
      <c r="H7" s="173"/>
      <c r="I7" s="174"/>
      <c r="J7" s="174"/>
      <c r="K7" s="175"/>
    </row>
    <row r="8" spans="1:11" ht="34.5" customHeight="1">
      <c r="A8" s="129" t="s">
        <v>67</v>
      </c>
      <c r="B8" s="130"/>
      <c r="C8" s="151"/>
      <c r="D8" s="152"/>
      <c r="E8" s="73"/>
      <c r="F8" s="129" t="s">
        <v>75</v>
      </c>
      <c r="G8" s="130"/>
      <c r="H8" s="173"/>
      <c r="I8" s="174"/>
      <c r="J8" s="174"/>
      <c r="K8" s="175"/>
    </row>
    <row r="9" spans="1:11" ht="34.5" customHeight="1">
      <c r="A9" s="129" t="s">
        <v>68</v>
      </c>
      <c r="B9" s="130"/>
      <c r="C9" s="151"/>
      <c r="D9" s="152"/>
      <c r="E9" s="73"/>
      <c r="F9" s="129"/>
      <c r="G9" s="130"/>
      <c r="H9" s="173"/>
      <c r="I9" s="174"/>
      <c r="J9" s="174"/>
      <c r="K9" s="175"/>
    </row>
    <row r="10" spans="1:11" ht="34.5" customHeight="1">
      <c r="A10" s="129" t="s">
        <v>69</v>
      </c>
      <c r="B10" s="130"/>
      <c r="C10" s="12" t="s">
        <v>71</v>
      </c>
      <c r="D10" s="12" t="s">
        <v>70</v>
      </c>
      <c r="E10" s="73"/>
      <c r="F10" s="10"/>
      <c r="G10" s="10"/>
      <c r="H10" s="10"/>
      <c r="I10" s="10"/>
      <c r="J10" s="10"/>
      <c r="K10" s="10"/>
    </row>
    <row r="11" spans="1:11" ht="15" customHeight="1">
      <c r="A11" s="157"/>
      <c r="B11" s="157"/>
      <c r="C11" s="157"/>
      <c r="D11" s="157"/>
      <c r="E11" s="157"/>
      <c r="F11" s="157"/>
      <c r="G11" s="157"/>
      <c r="H11" s="157"/>
      <c r="I11" s="157"/>
      <c r="J11" s="157"/>
      <c r="K11" s="157"/>
    </row>
    <row r="12" spans="1:11" ht="19.5" customHeight="1">
      <c r="D12" s="1"/>
      <c r="E12" s="1"/>
      <c r="G12" s="9"/>
      <c r="H12" s="9"/>
      <c r="I12" s="9"/>
      <c r="J12" s="9"/>
      <c r="K12" s="9"/>
    </row>
    <row r="13" spans="1:11" ht="57" customHeight="1">
      <c r="A13" s="6" t="s">
        <v>56</v>
      </c>
      <c r="B13" s="108" t="s">
        <v>16</v>
      </c>
      <c r="C13" s="108"/>
      <c r="D13" s="108"/>
      <c r="E13" s="6" t="s">
        <v>245</v>
      </c>
      <c r="F13" s="6" t="s">
        <v>246</v>
      </c>
      <c r="G13" s="6" t="s">
        <v>247</v>
      </c>
      <c r="H13" s="6" t="s">
        <v>248</v>
      </c>
      <c r="I13" s="6" t="s">
        <v>249</v>
      </c>
      <c r="J13" s="6" t="s">
        <v>250</v>
      </c>
      <c r="K13" s="6" t="s">
        <v>251</v>
      </c>
    </row>
    <row r="14" spans="1:11" ht="34.950000000000003" customHeight="1">
      <c r="A14" s="2">
        <v>1.1000000000000001</v>
      </c>
      <c r="B14" s="170" t="s">
        <v>61</v>
      </c>
      <c r="C14" s="171"/>
      <c r="D14" s="172"/>
      <c r="E14" s="72"/>
      <c r="F14" s="75"/>
      <c r="G14" s="70" t="s">
        <v>252</v>
      </c>
      <c r="H14" s="76"/>
      <c r="I14" s="76"/>
      <c r="J14" s="76"/>
      <c r="K14" s="77">
        <f>J14*H14</f>
        <v>0</v>
      </c>
    </row>
    <row r="15" spans="1:11" ht="34.950000000000003" customHeight="1">
      <c r="A15" s="2">
        <v>1.2</v>
      </c>
      <c r="B15" s="170" t="s">
        <v>62</v>
      </c>
      <c r="C15" s="171"/>
      <c r="D15" s="172"/>
      <c r="E15" s="72"/>
      <c r="F15" s="75"/>
      <c r="G15" s="70" t="s">
        <v>252</v>
      </c>
      <c r="H15" s="76"/>
      <c r="I15" s="76"/>
      <c r="K15" s="77">
        <f t="shared" ref="K15:K45" si="0">J15*H15</f>
        <v>0</v>
      </c>
    </row>
    <row r="16" spans="1:11" ht="34.950000000000003" customHeight="1">
      <c r="A16" s="2">
        <v>1.3</v>
      </c>
      <c r="B16" s="170" t="s">
        <v>63</v>
      </c>
      <c r="C16" s="171"/>
      <c r="D16" s="172"/>
      <c r="E16" s="72"/>
      <c r="F16" s="75"/>
      <c r="G16" s="70" t="s">
        <v>252</v>
      </c>
      <c r="H16" s="76"/>
      <c r="I16" s="76"/>
      <c r="J16" s="76"/>
      <c r="K16" s="77">
        <f t="shared" si="0"/>
        <v>0</v>
      </c>
    </row>
    <row r="17" spans="1:11" ht="34.950000000000003" customHeight="1">
      <c r="A17" s="2">
        <v>1.4</v>
      </c>
      <c r="B17" s="170" t="s">
        <v>203</v>
      </c>
      <c r="C17" s="171"/>
      <c r="D17" s="172"/>
      <c r="E17" s="72"/>
      <c r="F17" s="75"/>
      <c r="G17" s="70" t="s">
        <v>252</v>
      </c>
      <c r="H17" s="76"/>
      <c r="I17" s="76"/>
      <c r="J17" s="76"/>
      <c r="K17" s="77">
        <f t="shared" si="0"/>
        <v>0</v>
      </c>
    </row>
    <row r="18" spans="1:11" ht="34.950000000000003" customHeight="1">
      <c r="A18" s="2">
        <v>1.5</v>
      </c>
      <c r="B18" s="170" t="s">
        <v>204</v>
      </c>
      <c r="C18" s="171"/>
      <c r="D18" s="172"/>
      <c r="E18" s="72"/>
      <c r="F18" s="75"/>
      <c r="G18" s="70" t="s">
        <v>252</v>
      </c>
      <c r="H18" s="76"/>
      <c r="I18" s="76"/>
      <c r="J18" s="76"/>
      <c r="K18" s="77">
        <f t="shared" si="0"/>
        <v>0</v>
      </c>
    </row>
    <row r="19" spans="1:11" ht="34.950000000000003" customHeight="1">
      <c r="A19" s="2">
        <v>1.6</v>
      </c>
      <c r="B19" s="170" t="s">
        <v>205</v>
      </c>
      <c r="C19" s="171"/>
      <c r="D19" s="172"/>
      <c r="E19" s="72"/>
      <c r="F19" s="75"/>
      <c r="G19" s="70" t="s">
        <v>253</v>
      </c>
      <c r="H19" s="76"/>
      <c r="I19" s="76"/>
      <c r="J19" s="76"/>
      <c r="K19" s="77">
        <f t="shared" si="0"/>
        <v>0</v>
      </c>
    </row>
    <row r="20" spans="1:11" ht="34.950000000000003" customHeight="1">
      <c r="A20" s="2">
        <v>1.7</v>
      </c>
      <c r="B20" s="170" t="s">
        <v>206</v>
      </c>
      <c r="C20" s="171"/>
      <c r="D20" s="172"/>
      <c r="E20" s="72"/>
      <c r="F20" s="75"/>
      <c r="G20" s="70" t="s">
        <v>252</v>
      </c>
      <c r="H20" s="76"/>
      <c r="I20" s="76"/>
      <c r="J20" s="76"/>
      <c r="K20" s="77">
        <f t="shared" si="0"/>
        <v>0</v>
      </c>
    </row>
    <row r="21" spans="1:11" ht="34.950000000000003" customHeight="1">
      <c r="A21" s="2">
        <v>1.8</v>
      </c>
      <c r="B21" s="170" t="s">
        <v>207</v>
      </c>
      <c r="C21" s="171"/>
      <c r="D21" s="172"/>
      <c r="E21" s="72"/>
      <c r="F21" s="75"/>
      <c r="G21" s="70" t="s">
        <v>252</v>
      </c>
      <c r="H21" s="76"/>
      <c r="I21" s="76"/>
      <c r="J21" s="76"/>
      <c r="K21" s="77">
        <f t="shared" si="0"/>
        <v>0</v>
      </c>
    </row>
    <row r="22" spans="1:11" ht="34.950000000000003" customHeight="1">
      <c r="A22" s="2">
        <v>1.9</v>
      </c>
      <c r="B22" s="170" t="s">
        <v>208</v>
      </c>
      <c r="C22" s="171"/>
      <c r="D22" s="172"/>
      <c r="E22" s="72"/>
      <c r="F22" s="75"/>
      <c r="G22" s="70" t="s">
        <v>252</v>
      </c>
      <c r="H22" s="76"/>
      <c r="I22" s="76"/>
      <c r="J22" s="76"/>
      <c r="K22" s="77">
        <f t="shared" si="0"/>
        <v>0</v>
      </c>
    </row>
    <row r="23" spans="1:11" ht="34.950000000000003" customHeight="1">
      <c r="A23" s="7">
        <v>1.1000000000000001</v>
      </c>
      <c r="B23" s="170" t="s">
        <v>209</v>
      </c>
      <c r="C23" s="171"/>
      <c r="D23" s="172"/>
      <c r="E23" s="72"/>
      <c r="F23" s="75"/>
      <c r="G23" s="70" t="s">
        <v>252</v>
      </c>
      <c r="H23" s="76"/>
      <c r="I23" s="76"/>
      <c r="J23" s="76"/>
      <c r="K23" s="77">
        <f t="shared" si="0"/>
        <v>0</v>
      </c>
    </row>
    <row r="24" spans="1:11" ht="34.950000000000003" customHeight="1">
      <c r="A24" s="2">
        <v>1.1100000000000001</v>
      </c>
      <c r="B24" s="170" t="s">
        <v>210</v>
      </c>
      <c r="C24" s="171"/>
      <c r="D24" s="172"/>
      <c r="E24" s="72"/>
      <c r="F24" s="75"/>
      <c r="G24" s="70" t="s">
        <v>252</v>
      </c>
      <c r="H24" s="76"/>
      <c r="I24" s="76"/>
      <c r="J24" s="76"/>
      <c r="K24" s="77">
        <f t="shared" si="0"/>
        <v>0</v>
      </c>
    </row>
    <row r="25" spans="1:11" ht="34.950000000000003" customHeight="1">
      <c r="A25" s="2">
        <v>1.1200000000000001</v>
      </c>
      <c r="B25" s="170" t="s">
        <v>211</v>
      </c>
      <c r="C25" s="171"/>
      <c r="D25" s="172"/>
      <c r="E25" s="72"/>
      <c r="F25" s="75"/>
      <c r="G25" s="70" t="s">
        <v>252</v>
      </c>
      <c r="H25" s="76"/>
      <c r="I25" s="76"/>
      <c r="J25" s="76"/>
      <c r="K25" s="77">
        <f t="shared" si="0"/>
        <v>0</v>
      </c>
    </row>
    <row r="26" spans="1:11" ht="34.950000000000003" customHeight="1">
      <c r="A26" s="7">
        <v>1.1299999999999999</v>
      </c>
      <c r="B26" s="170" t="s">
        <v>212</v>
      </c>
      <c r="C26" s="171"/>
      <c r="D26" s="172"/>
      <c r="E26" s="72"/>
      <c r="F26" s="75"/>
      <c r="G26" s="70" t="s">
        <v>252</v>
      </c>
      <c r="H26" s="76"/>
      <c r="I26" s="76"/>
      <c r="J26" s="76"/>
      <c r="K26" s="77">
        <f t="shared" si="0"/>
        <v>0</v>
      </c>
    </row>
    <row r="27" spans="1:11" ht="34.950000000000003" customHeight="1">
      <c r="A27" s="2">
        <v>1.1399999999999999</v>
      </c>
      <c r="B27" s="170" t="s">
        <v>213</v>
      </c>
      <c r="C27" s="171"/>
      <c r="D27" s="172"/>
      <c r="E27" s="72"/>
      <c r="F27" s="75"/>
      <c r="G27" s="70" t="s">
        <v>252</v>
      </c>
      <c r="H27" s="76"/>
      <c r="I27" s="76"/>
      <c r="J27" s="76"/>
      <c r="K27" s="77">
        <f t="shared" si="0"/>
        <v>0</v>
      </c>
    </row>
    <row r="28" spans="1:11" ht="34.950000000000003" customHeight="1">
      <c r="A28" s="2">
        <v>1.1499999999999999</v>
      </c>
      <c r="B28" s="170" t="s">
        <v>214</v>
      </c>
      <c r="C28" s="171"/>
      <c r="D28" s="172"/>
      <c r="E28" s="72"/>
      <c r="F28" s="75"/>
      <c r="G28" s="70" t="s">
        <v>252</v>
      </c>
      <c r="H28" s="76"/>
      <c r="I28" s="76"/>
      <c r="J28" s="76"/>
      <c r="K28" s="77">
        <f t="shared" si="0"/>
        <v>0</v>
      </c>
    </row>
    <row r="29" spans="1:11" ht="34.950000000000003" customHeight="1">
      <c r="A29" s="7">
        <v>1.1599999999999999</v>
      </c>
      <c r="B29" s="170" t="s">
        <v>215</v>
      </c>
      <c r="C29" s="171"/>
      <c r="D29" s="172"/>
      <c r="E29" s="72"/>
      <c r="F29" s="75"/>
      <c r="G29" s="70" t="s">
        <v>252</v>
      </c>
      <c r="H29" s="76"/>
      <c r="I29" s="76"/>
      <c r="J29" s="76"/>
      <c r="K29" s="77">
        <f t="shared" si="0"/>
        <v>0</v>
      </c>
    </row>
    <row r="30" spans="1:11" ht="34.950000000000003" customHeight="1">
      <c r="A30" s="2">
        <v>1.17</v>
      </c>
      <c r="B30" s="170" t="s">
        <v>216</v>
      </c>
      <c r="C30" s="171"/>
      <c r="D30" s="172"/>
      <c r="E30" s="72"/>
      <c r="F30" s="75"/>
      <c r="G30" s="70" t="s">
        <v>252</v>
      </c>
      <c r="H30" s="76"/>
      <c r="I30" s="76"/>
      <c r="J30" s="76"/>
      <c r="K30" s="77">
        <f t="shared" si="0"/>
        <v>0</v>
      </c>
    </row>
    <row r="31" spans="1:11" ht="34.950000000000003" customHeight="1">
      <c r="A31" s="2">
        <v>1.18</v>
      </c>
      <c r="B31" s="170" t="s">
        <v>217</v>
      </c>
      <c r="C31" s="171"/>
      <c r="D31" s="172"/>
      <c r="E31" s="72"/>
      <c r="F31" s="75"/>
      <c r="G31" s="70" t="s">
        <v>252</v>
      </c>
      <c r="H31" s="76"/>
      <c r="I31" s="76"/>
      <c r="J31" s="76"/>
      <c r="K31" s="77">
        <f t="shared" si="0"/>
        <v>0</v>
      </c>
    </row>
    <row r="32" spans="1:11" ht="34.950000000000003" customHeight="1">
      <c r="A32" s="7">
        <v>1.19</v>
      </c>
      <c r="B32" s="170" t="s">
        <v>218</v>
      </c>
      <c r="C32" s="171"/>
      <c r="D32" s="172"/>
      <c r="E32" s="72"/>
      <c r="F32" s="75"/>
      <c r="G32" s="70" t="s">
        <v>252</v>
      </c>
      <c r="H32" s="76"/>
      <c r="I32" s="76"/>
      <c r="J32" s="76"/>
      <c r="K32" s="77">
        <f t="shared" si="0"/>
        <v>0</v>
      </c>
    </row>
    <row r="33" spans="1:11" ht="34.950000000000003" customHeight="1">
      <c r="A33" s="2">
        <v>1.2</v>
      </c>
      <c r="B33" s="170" t="s">
        <v>219</v>
      </c>
      <c r="C33" s="171"/>
      <c r="D33" s="172"/>
      <c r="E33" s="72"/>
      <c r="F33" s="75"/>
      <c r="G33" s="70" t="s">
        <v>252</v>
      </c>
      <c r="H33" s="76"/>
      <c r="I33" s="76"/>
      <c r="J33" s="76"/>
      <c r="K33" s="77">
        <f t="shared" si="0"/>
        <v>0</v>
      </c>
    </row>
    <row r="34" spans="1:11" ht="34.950000000000003" customHeight="1">
      <c r="A34" s="2">
        <v>1.21</v>
      </c>
      <c r="B34" s="170" t="s">
        <v>220</v>
      </c>
      <c r="C34" s="171"/>
      <c r="D34" s="172"/>
      <c r="E34" s="72"/>
      <c r="F34" s="75"/>
      <c r="G34" s="70" t="s">
        <v>252</v>
      </c>
      <c r="H34" s="76"/>
      <c r="I34" s="76"/>
      <c r="J34" s="76"/>
      <c r="K34" s="77">
        <f t="shared" si="0"/>
        <v>0</v>
      </c>
    </row>
    <row r="35" spans="1:11" ht="34.950000000000003" customHeight="1">
      <c r="A35" s="2">
        <v>1.22</v>
      </c>
      <c r="B35" s="170" t="s">
        <v>221</v>
      </c>
      <c r="C35" s="171"/>
      <c r="D35" s="172"/>
      <c r="E35" s="71"/>
      <c r="F35" s="75"/>
      <c r="G35" s="70" t="s">
        <v>252</v>
      </c>
      <c r="H35" s="76"/>
      <c r="I35" s="76"/>
      <c r="J35" s="76"/>
      <c r="K35" s="77">
        <f t="shared" si="0"/>
        <v>0</v>
      </c>
    </row>
    <row r="36" spans="1:11" ht="34.950000000000003" customHeight="1">
      <c r="A36" s="2">
        <v>1.23</v>
      </c>
      <c r="B36" s="170" t="s">
        <v>222</v>
      </c>
      <c r="C36" s="171"/>
      <c r="D36" s="172"/>
      <c r="E36" s="71"/>
      <c r="F36" s="75"/>
      <c r="G36" s="70" t="s">
        <v>253</v>
      </c>
      <c r="H36" s="76"/>
      <c r="I36" s="76"/>
      <c r="J36" s="76"/>
      <c r="K36" s="77">
        <f t="shared" si="0"/>
        <v>0</v>
      </c>
    </row>
    <row r="37" spans="1:11" ht="49.2" customHeight="1">
      <c r="A37" s="2">
        <v>1.24</v>
      </c>
      <c r="B37" s="170" t="s">
        <v>223</v>
      </c>
      <c r="C37" s="171"/>
      <c r="D37" s="172"/>
      <c r="E37" s="71"/>
      <c r="F37" s="75"/>
      <c r="G37" s="70" t="s">
        <v>252</v>
      </c>
      <c r="H37" s="76"/>
      <c r="I37" s="76"/>
      <c r="J37" s="76"/>
      <c r="K37" s="77">
        <f t="shared" si="0"/>
        <v>0</v>
      </c>
    </row>
    <row r="38" spans="1:11" ht="54.45" customHeight="1">
      <c r="A38" s="2">
        <v>1.25</v>
      </c>
      <c r="B38" s="170" t="s">
        <v>224</v>
      </c>
      <c r="C38" s="171"/>
      <c r="D38" s="172"/>
      <c r="E38" s="71"/>
      <c r="F38" s="75"/>
      <c r="G38" s="70" t="s">
        <v>252</v>
      </c>
      <c r="H38" s="76"/>
      <c r="I38" s="76"/>
      <c r="J38" s="76"/>
      <c r="K38" s="77">
        <f t="shared" si="0"/>
        <v>0</v>
      </c>
    </row>
    <row r="39" spans="1:11" ht="34.950000000000003" customHeight="1">
      <c r="A39" s="2">
        <v>1.26</v>
      </c>
      <c r="B39" s="170" t="s">
        <v>225</v>
      </c>
      <c r="C39" s="171"/>
      <c r="D39" s="172"/>
      <c r="E39" s="71"/>
      <c r="F39" s="75"/>
      <c r="G39" s="70" t="s">
        <v>252</v>
      </c>
      <c r="H39" s="76"/>
      <c r="I39" s="76"/>
      <c r="J39" s="76"/>
      <c r="K39" s="77">
        <f t="shared" si="0"/>
        <v>0</v>
      </c>
    </row>
    <row r="40" spans="1:11" ht="34.950000000000003" customHeight="1">
      <c r="A40" s="2">
        <v>1.27</v>
      </c>
      <c r="B40" s="170" t="s">
        <v>226</v>
      </c>
      <c r="C40" s="171"/>
      <c r="D40" s="172"/>
      <c r="E40" s="71"/>
      <c r="F40" s="75"/>
      <c r="G40" s="70" t="s">
        <v>252</v>
      </c>
      <c r="H40" s="76"/>
      <c r="I40" s="76"/>
      <c r="J40" s="76"/>
      <c r="K40" s="77">
        <f t="shared" si="0"/>
        <v>0</v>
      </c>
    </row>
    <row r="41" spans="1:11" ht="34.950000000000003" customHeight="1">
      <c r="A41" s="2">
        <v>1.28</v>
      </c>
      <c r="B41" s="170" t="s">
        <v>227</v>
      </c>
      <c r="C41" s="171"/>
      <c r="D41" s="172"/>
      <c r="E41" s="71"/>
      <c r="F41" s="75"/>
      <c r="G41" s="70"/>
      <c r="H41" s="76"/>
      <c r="I41" s="76"/>
      <c r="J41" s="76"/>
      <c r="K41" s="77">
        <f t="shared" si="0"/>
        <v>0</v>
      </c>
    </row>
    <row r="42" spans="1:11" ht="34.950000000000003" customHeight="1">
      <c r="A42" s="2">
        <v>1.32</v>
      </c>
      <c r="B42" s="168"/>
      <c r="C42" s="169"/>
      <c r="D42" s="169"/>
      <c r="E42" s="72"/>
      <c r="F42" s="75"/>
      <c r="G42" s="14"/>
      <c r="H42" s="76"/>
      <c r="I42" s="76"/>
      <c r="J42" s="76"/>
      <c r="K42" s="77">
        <f t="shared" si="0"/>
        <v>0</v>
      </c>
    </row>
    <row r="43" spans="1:11" ht="34.950000000000003" customHeight="1">
      <c r="A43" s="2">
        <v>1.33</v>
      </c>
      <c r="B43" s="168"/>
      <c r="C43" s="169"/>
      <c r="D43" s="169"/>
      <c r="E43" s="72"/>
      <c r="F43" s="75"/>
      <c r="G43" s="14"/>
      <c r="H43" s="76"/>
      <c r="I43" s="76"/>
      <c r="J43" s="76"/>
      <c r="K43" s="77">
        <f t="shared" si="0"/>
        <v>0</v>
      </c>
    </row>
    <row r="44" spans="1:11" ht="34.950000000000003" customHeight="1">
      <c r="A44" s="2">
        <v>1.34</v>
      </c>
      <c r="B44" s="168"/>
      <c r="C44" s="169"/>
      <c r="D44" s="169"/>
      <c r="E44" s="72"/>
      <c r="F44" s="75"/>
      <c r="G44" s="14"/>
      <c r="H44" s="76"/>
      <c r="I44" s="76"/>
      <c r="J44" s="76"/>
      <c r="K44" s="77">
        <f t="shared" si="0"/>
        <v>0</v>
      </c>
    </row>
    <row r="45" spans="1:11" ht="34.950000000000003" customHeight="1">
      <c r="A45" s="2">
        <v>1.35</v>
      </c>
      <c r="B45" s="139"/>
      <c r="C45" s="139"/>
      <c r="D45" s="103"/>
      <c r="E45" s="72"/>
      <c r="F45" s="75"/>
      <c r="G45" s="14"/>
      <c r="H45" s="76"/>
      <c r="I45" s="76"/>
      <c r="J45" s="76"/>
      <c r="K45" s="77">
        <f t="shared" si="0"/>
        <v>0</v>
      </c>
    </row>
    <row r="46" spans="1:11" ht="21" customHeight="1">
      <c r="D46" s="1"/>
      <c r="E46" s="1"/>
    </row>
    <row r="47" spans="1:11" ht="52.5" customHeight="1">
      <c r="A47" s="163" t="s">
        <v>254</v>
      </c>
      <c r="B47" s="164"/>
      <c r="C47" s="164"/>
      <c r="D47" s="164"/>
      <c r="E47" s="165"/>
      <c r="F47" s="165"/>
      <c r="G47" s="165"/>
      <c r="H47" s="165"/>
      <c r="I47" s="165"/>
      <c r="J47" s="166">
        <f>SUM(K14:K45)</f>
        <v>0</v>
      </c>
      <c r="K47" s="167"/>
    </row>
    <row r="48" spans="1:11" ht="37.200000000000003" customHeight="1">
      <c r="A48" s="108" t="s">
        <v>1</v>
      </c>
      <c r="B48" s="108"/>
      <c r="C48" s="108"/>
      <c r="D48" s="108"/>
      <c r="E48" s="108"/>
      <c r="F48" s="108"/>
      <c r="G48" s="108"/>
      <c r="H48" s="108"/>
      <c r="I48" s="108"/>
      <c r="J48" s="108"/>
      <c r="K48" s="108"/>
    </row>
    <row r="49" spans="1:11" ht="28.2" customHeight="1">
      <c r="A49" s="162"/>
      <c r="B49" s="162"/>
      <c r="C49" s="162"/>
      <c r="D49" s="162"/>
      <c r="E49" s="162"/>
      <c r="F49" s="162"/>
      <c r="G49" s="162"/>
      <c r="H49" s="162"/>
      <c r="I49" s="162"/>
      <c r="J49" s="162"/>
      <c r="K49" s="162"/>
    </row>
    <row r="50" spans="1:11" ht="28.2" customHeight="1">
      <c r="A50" s="162"/>
      <c r="B50" s="162"/>
      <c r="C50" s="162"/>
      <c r="D50" s="162"/>
      <c r="E50" s="162"/>
      <c r="F50" s="162"/>
      <c r="G50" s="162"/>
      <c r="H50" s="162"/>
      <c r="I50" s="162"/>
      <c r="J50" s="162"/>
      <c r="K50" s="162"/>
    </row>
    <row r="51" spans="1:11" ht="28.2" customHeight="1">
      <c r="A51" s="162"/>
      <c r="B51" s="162"/>
      <c r="C51" s="162"/>
      <c r="D51" s="162"/>
      <c r="E51" s="162"/>
      <c r="F51" s="162"/>
      <c r="G51" s="162"/>
      <c r="H51" s="162"/>
      <c r="I51" s="162"/>
      <c r="J51" s="162"/>
      <c r="K51" s="162"/>
    </row>
    <row r="52" spans="1:11" ht="28.2" customHeight="1">
      <c r="A52" s="162"/>
      <c r="B52" s="162"/>
      <c r="C52" s="162"/>
      <c r="D52" s="162"/>
      <c r="E52" s="162"/>
      <c r="F52" s="162"/>
      <c r="G52" s="162"/>
      <c r="H52" s="162"/>
      <c r="I52" s="162"/>
      <c r="J52" s="162"/>
      <c r="K52" s="162"/>
    </row>
    <row r="53" spans="1:11" ht="28.2" customHeight="1">
      <c r="A53" s="162"/>
      <c r="B53" s="162"/>
      <c r="C53" s="162"/>
      <c r="D53" s="162"/>
      <c r="E53" s="162"/>
      <c r="F53" s="162"/>
      <c r="G53" s="162"/>
      <c r="H53" s="162"/>
      <c r="I53" s="162"/>
      <c r="J53" s="162"/>
      <c r="K53" s="162"/>
    </row>
  </sheetData>
  <mergeCells count="65">
    <mergeCell ref="A5:B5"/>
    <mergeCell ref="C5:D5"/>
    <mergeCell ref="F5:G5"/>
    <mergeCell ref="H5:K5"/>
    <mergeCell ref="A2:K3"/>
    <mergeCell ref="A4:B4"/>
    <mergeCell ref="C4:D4"/>
    <mergeCell ref="F4:G4"/>
    <mergeCell ref="H4:K4"/>
    <mergeCell ref="A6:B6"/>
    <mergeCell ref="C6:D6"/>
    <mergeCell ref="F6:G6"/>
    <mergeCell ref="H6:K6"/>
    <mergeCell ref="A7:B7"/>
    <mergeCell ref="C7:D7"/>
    <mergeCell ref="F7:G7"/>
    <mergeCell ref="H7:K7"/>
    <mergeCell ref="A8:B8"/>
    <mergeCell ref="C8:D8"/>
    <mergeCell ref="F8:G8"/>
    <mergeCell ref="H8:K8"/>
    <mergeCell ref="A9:B9"/>
    <mergeCell ref="C9:D9"/>
    <mergeCell ref="F9:G9"/>
    <mergeCell ref="H9:K9"/>
    <mergeCell ref="B15:D15"/>
    <mergeCell ref="B16:D16"/>
    <mergeCell ref="B17:D17"/>
    <mergeCell ref="A10:B10"/>
    <mergeCell ref="A11:K11"/>
    <mergeCell ref="B13:D13"/>
    <mergeCell ref="B14:D14"/>
    <mergeCell ref="B21:D21"/>
    <mergeCell ref="B22:D22"/>
    <mergeCell ref="B23:D23"/>
    <mergeCell ref="B18:D18"/>
    <mergeCell ref="B19:D19"/>
    <mergeCell ref="B20:D20"/>
    <mergeCell ref="B27:D27"/>
    <mergeCell ref="B28:D28"/>
    <mergeCell ref="B29:D29"/>
    <mergeCell ref="B24:D24"/>
    <mergeCell ref="B25:D25"/>
    <mergeCell ref="B26:D26"/>
    <mergeCell ref="B33:D33"/>
    <mergeCell ref="B34:D34"/>
    <mergeCell ref="B35:D35"/>
    <mergeCell ref="B30:D30"/>
    <mergeCell ref="B31:D31"/>
    <mergeCell ref="B32:D32"/>
    <mergeCell ref="B39:D39"/>
    <mergeCell ref="B40:D40"/>
    <mergeCell ref="B41:D41"/>
    <mergeCell ref="B36:D36"/>
    <mergeCell ref="B37:D37"/>
    <mergeCell ref="B38:D38"/>
    <mergeCell ref="A49:K53"/>
    <mergeCell ref="A47:D47"/>
    <mergeCell ref="E47:I47"/>
    <mergeCell ref="J47:K47"/>
    <mergeCell ref="B42:D42"/>
    <mergeCell ref="B43:D43"/>
    <mergeCell ref="B44:D44"/>
    <mergeCell ref="B45:D45"/>
    <mergeCell ref="A48:K48"/>
  </mergeCells>
  <printOptions horizontalCentered="1"/>
  <pageMargins left="0.2" right="0.2" top="0.25" bottom="0.25" header="0.3" footer="0.3"/>
  <pageSetup paperSize="8" scale="8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7"/>
  <sheetViews>
    <sheetView showGridLines="0" rightToLeft="1" topLeftCell="A11" zoomScale="85" zoomScaleNormal="85" zoomScaleSheetLayoutView="85" workbookViewId="0">
      <selection activeCell="I14" sqref="I14"/>
    </sheetView>
  </sheetViews>
  <sheetFormatPr defaultColWidth="12" defaultRowHeight="30" customHeight="1"/>
  <cols>
    <col min="1" max="1" width="7.88671875" style="1" customWidth="1"/>
    <col min="2" max="2" width="12.88671875" style="1" customWidth="1"/>
    <col min="3" max="3" width="12.6640625" style="1" customWidth="1"/>
    <col min="4" max="5" width="12.6640625" style="3" customWidth="1"/>
    <col min="6" max="7" width="13.88671875" style="1" customWidth="1"/>
    <col min="8" max="8" width="15" style="1" customWidth="1"/>
    <col min="9" max="9" width="19" style="1" customWidth="1"/>
    <col min="10" max="10" width="17.6640625" style="1" customWidth="1"/>
    <col min="11" max="11" width="14" style="1" customWidth="1"/>
    <col min="12" max="16384" width="12" style="1"/>
  </cols>
  <sheetData>
    <row r="1" spans="1:11" ht="72" customHeight="1"/>
    <row r="2" spans="1:11" ht="27.6" customHeight="1">
      <c r="A2" s="176" t="s">
        <v>255</v>
      </c>
      <c r="B2" s="176"/>
      <c r="C2" s="176"/>
      <c r="D2" s="176"/>
      <c r="E2" s="176"/>
      <c r="F2" s="176"/>
      <c r="G2" s="176"/>
      <c r="H2" s="177"/>
      <c r="I2" s="177"/>
      <c r="J2" s="177"/>
      <c r="K2" s="176"/>
    </row>
    <row r="3" spans="1:11" ht="27.45" customHeight="1">
      <c r="A3" s="176"/>
      <c r="B3" s="176"/>
      <c r="C3" s="176"/>
      <c r="D3" s="176"/>
      <c r="E3" s="176"/>
      <c r="F3" s="176"/>
      <c r="G3" s="176"/>
      <c r="H3" s="177"/>
      <c r="I3" s="177"/>
      <c r="J3" s="177"/>
      <c r="K3" s="176"/>
    </row>
    <row r="4" spans="1:11" ht="34.5" customHeight="1">
      <c r="A4" s="178" t="s">
        <v>64</v>
      </c>
      <c r="B4" s="135"/>
      <c r="C4" s="179"/>
      <c r="D4" s="180"/>
      <c r="E4" s="180"/>
      <c r="F4" s="178" t="s">
        <v>72</v>
      </c>
      <c r="G4" s="135"/>
      <c r="H4" s="181"/>
      <c r="I4" s="182"/>
      <c r="J4" s="182"/>
      <c r="K4" s="183"/>
    </row>
    <row r="5" spans="1:11" ht="34.200000000000003" customHeight="1">
      <c r="A5" s="129" t="s">
        <v>0</v>
      </c>
      <c r="B5" s="130"/>
      <c r="C5" s="151"/>
      <c r="D5" s="152"/>
      <c r="E5" s="152"/>
      <c r="F5" s="129" t="s">
        <v>73</v>
      </c>
      <c r="G5" s="130"/>
      <c r="H5" s="173"/>
      <c r="I5" s="174"/>
      <c r="J5" s="174"/>
      <c r="K5" s="175"/>
    </row>
    <row r="6" spans="1:11" ht="34.5" customHeight="1">
      <c r="A6" s="129" t="s">
        <v>65</v>
      </c>
      <c r="B6" s="130"/>
      <c r="C6" s="151"/>
      <c r="D6" s="152"/>
      <c r="E6" s="152"/>
      <c r="F6" s="129" t="s">
        <v>0</v>
      </c>
      <c r="G6" s="130"/>
      <c r="H6" s="173"/>
      <c r="I6" s="174"/>
      <c r="J6" s="174"/>
      <c r="K6" s="175"/>
    </row>
    <row r="7" spans="1:11" ht="34.5" customHeight="1">
      <c r="A7" s="129" t="s">
        <v>66</v>
      </c>
      <c r="B7" s="130"/>
      <c r="C7" s="151"/>
      <c r="D7" s="152"/>
      <c r="E7" s="152"/>
      <c r="F7" s="129" t="s">
        <v>74</v>
      </c>
      <c r="G7" s="130"/>
      <c r="H7" s="173"/>
      <c r="I7" s="174"/>
      <c r="J7" s="174"/>
      <c r="K7" s="175"/>
    </row>
    <row r="8" spans="1:11" ht="34.5" customHeight="1">
      <c r="A8" s="129" t="s">
        <v>67</v>
      </c>
      <c r="B8" s="130"/>
      <c r="C8" s="151"/>
      <c r="D8" s="152"/>
      <c r="E8" s="152"/>
      <c r="F8" s="129" t="s">
        <v>75</v>
      </c>
      <c r="G8" s="130"/>
      <c r="H8" s="173"/>
      <c r="I8" s="174"/>
      <c r="J8" s="174"/>
      <c r="K8" s="175"/>
    </row>
    <row r="9" spans="1:11" ht="34.5" customHeight="1">
      <c r="A9" s="129" t="s">
        <v>68</v>
      </c>
      <c r="B9" s="130"/>
      <c r="C9" s="151"/>
      <c r="D9" s="152"/>
      <c r="E9" s="152"/>
      <c r="F9" s="129"/>
      <c r="G9" s="130"/>
      <c r="H9" s="173"/>
      <c r="I9" s="174"/>
      <c r="J9" s="174"/>
      <c r="K9" s="175"/>
    </row>
    <row r="10" spans="1:11" ht="34.5" customHeight="1">
      <c r="A10" s="129" t="s">
        <v>69</v>
      </c>
      <c r="B10" s="130"/>
      <c r="C10" s="12" t="s">
        <v>71</v>
      </c>
      <c r="D10" s="12" t="s">
        <v>70</v>
      </c>
      <c r="E10" s="12"/>
      <c r="F10" s="10"/>
      <c r="G10" s="10"/>
      <c r="H10" s="10"/>
      <c r="I10" s="10"/>
      <c r="J10" s="10"/>
      <c r="K10" s="10"/>
    </row>
    <row r="11" spans="1:11" ht="15" customHeight="1">
      <c r="A11" s="157"/>
      <c r="B11" s="157"/>
      <c r="C11" s="157"/>
      <c r="D11" s="157"/>
      <c r="E11" s="157"/>
      <c r="F11" s="157"/>
      <c r="G11" s="157"/>
      <c r="H11" s="157"/>
      <c r="I11" s="157"/>
      <c r="J11" s="157"/>
      <c r="K11" s="157"/>
    </row>
    <row r="12" spans="1:11" ht="19.5" customHeight="1">
      <c r="D12" s="1"/>
      <c r="E12" s="1"/>
      <c r="G12" s="9"/>
      <c r="H12" s="9"/>
      <c r="I12" s="9"/>
      <c r="J12" s="9"/>
      <c r="K12" s="9"/>
    </row>
    <row r="13" spans="1:11" ht="57" customHeight="1">
      <c r="A13" s="6" t="s">
        <v>56</v>
      </c>
      <c r="B13" s="108" t="s">
        <v>16</v>
      </c>
      <c r="C13" s="108"/>
      <c r="D13" s="108"/>
      <c r="E13" s="6" t="s">
        <v>245</v>
      </c>
      <c r="F13" s="6" t="s">
        <v>246</v>
      </c>
      <c r="G13" s="6" t="s">
        <v>247</v>
      </c>
      <c r="H13" s="6" t="s">
        <v>248</v>
      </c>
      <c r="I13" s="6" t="s">
        <v>249</v>
      </c>
      <c r="J13" s="6" t="s">
        <v>250</v>
      </c>
      <c r="K13" s="6" t="s">
        <v>251</v>
      </c>
    </row>
    <row r="14" spans="1:11" ht="96.45" customHeight="1">
      <c r="A14" s="2">
        <v>1.1000000000000001</v>
      </c>
      <c r="B14" s="139" t="s">
        <v>228</v>
      </c>
      <c r="C14" s="139"/>
      <c r="D14" s="139"/>
      <c r="E14" s="72"/>
      <c r="F14" s="75"/>
      <c r="G14" s="76"/>
      <c r="H14" s="76"/>
      <c r="I14" s="76"/>
      <c r="J14" s="76"/>
      <c r="K14" s="76">
        <f>J14*H14</f>
        <v>0</v>
      </c>
    </row>
    <row r="15" spans="1:11" ht="72" customHeight="1">
      <c r="A15" s="2">
        <v>1.2</v>
      </c>
      <c r="B15" s="139" t="s">
        <v>229</v>
      </c>
      <c r="C15" s="139"/>
      <c r="D15" s="139"/>
      <c r="E15" s="72"/>
      <c r="F15" s="75"/>
      <c r="G15" s="76"/>
      <c r="H15" s="76"/>
      <c r="I15" s="76"/>
      <c r="J15" s="76"/>
      <c r="K15" s="76">
        <f t="shared" ref="K15:K29" si="0">J15*H15</f>
        <v>0</v>
      </c>
    </row>
    <row r="16" spans="1:11" ht="79.5" customHeight="1">
      <c r="A16" s="2">
        <v>1.3</v>
      </c>
      <c r="B16" s="139" t="s">
        <v>230</v>
      </c>
      <c r="C16" s="139"/>
      <c r="D16" s="139"/>
      <c r="E16" s="72"/>
      <c r="F16" s="75"/>
      <c r="G16" s="76"/>
      <c r="H16" s="76"/>
      <c r="I16" s="76"/>
      <c r="J16" s="76"/>
      <c r="K16" s="76">
        <f t="shared" si="0"/>
        <v>0</v>
      </c>
    </row>
    <row r="17" spans="1:11" ht="49.2" customHeight="1">
      <c r="A17" s="2">
        <v>1.4</v>
      </c>
      <c r="B17" s="139" t="s">
        <v>231</v>
      </c>
      <c r="C17" s="139"/>
      <c r="D17" s="139"/>
      <c r="E17" s="72"/>
      <c r="F17" s="75"/>
      <c r="G17" s="76"/>
      <c r="H17" s="76"/>
      <c r="I17" s="76"/>
      <c r="J17" s="76"/>
      <c r="K17" s="76">
        <f t="shared" si="0"/>
        <v>0</v>
      </c>
    </row>
    <row r="18" spans="1:11" ht="45.45" customHeight="1">
      <c r="A18" s="2">
        <v>1.5</v>
      </c>
      <c r="B18" s="139" t="s">
        <v>232</v>
      </c>
      <c r="C18" s="139"/>
      <c r="D18" s="139"/>
      <c r="E18" s="72"/>
      <c r="F18" s="75"/>
      <c r="G18" s="76"/>
      <c r="H18" s="76"/>
      <c r="I18" s="76"/>
      <c r="J18" s="76"/>
      <c r="K18" s="76">
        <f t="shared" si="0"/>
        <v>0</v>
      </c>
    </row>
    <row r="19" spans="1:11" ht="44.7" customHeight="1">
      <c r="A19" s="2">
        <v>1.6</v>
      </c>
      <c r="B19" s="139" t="s">
        <v>233</v>
      </c>
      <c r="C19" s="139"/>
      <c r="D19" s="139"/>
      <c r="E19" s="72"/>
      <c r="F19" s="75"/>
      <c r="G19" s="76"/>
      <c r="H19" s="76"/>
      <c r="I19" s="76"/>
      <c r="J19" s="76"/>
      <c r="K19" s="76">
        <f t="shared" si="0"/>
        <v>0</v>
      </c>
    </row>
    <row r="20" spans="1:11" ht="49.2" customHeight="1">
      <c r="A20" s="2">
        <v>1.7</v>
      </c>
      <c r="B20" s="139" t="s">
        <v>234</v>
      </c>
      <c r="C20" s="139"/>
      <c r="D20" s="139"/>
      <c r="E20" s="72"/>
      <c r="F20" s="75"/>
      <c r="G20" s="76"/>
      <c r="H20" s="76"/>
      <c r="I20" s="76"/>
      <c r="J20" s="76"/>
      <c r="K20" s="76">
        <f t="shared" si="0"/>
        <v>0</v>
      </c>
    </row>
    <row r="21" spans="1:11" ht="135.44999999999999" customHeight="1">
      <c r="A21" s="2">
        <v>1.8</v>
      </c>
      <c r="B21" s="139" t="s">
        <v>235</v>
      </c>
      <c r="C21" s="139"/>
      <c r="D21" s="139"/>
      <c r="E21" s="72"/>
      <c r="F21" s="75"/>
      <c r="G21" s="76"/>
      <c r="H21" s="76"/>
      <c r="I21" s="76"/>
      <c r="J21" s="76"/>
      <c r="K21" s="76">
        <f t="shared" si="0"/>
        <v>0</v>
      </c>
    </row>
    <row r="22" spans="1:11" ht="45" customHeight="1">
      <c r="A22" s="2">
        <v>1.9</v>
      </c>
      <c r="B22" s="139" t="s">
        <v>236</v>
      </c>
      <c r="C22" s="139"/>
      <c r="D22" s="139"/>
      <c r="E22" s="72"/>
      <c r="F22" s="75"/>
      <c r="G22" s="76" t="s">
        <v>253</v>
      </c>
      <c r="H22" s="76"/>
      <c r="I22" s="76"/>
      <c r="J22" s="76"/>
      <c r="K22" s="76">
        <f t="shared" si="0"/>
        <v>0</v>
      </c>
    </row>
    <row r="23" spans="1:11" ht="139.94999999999999" customHeight="1">
      <c r="A23" s="7">
        <v>1.1000000000000001</v>
      </c>
      <c r="B23" s="139" t="s">
        <v>237</v>
      </c>
      <c r="C23" s="139"/>
      <c r="D23" s="139"/>
      <c r="E23" s="72"/>
      <c r="F23" s="75"/>
      <c r="G23" s="76"/>
      <c r="H23" s="76"/>
      <c r="I23" s="76"/>
      <c r="J23" s="76"/>
      <c r="K23" s="76">
        <f t="shared" si="0"/>
        <v>0</v>
      </c>
    </row>
    <row r="24" spans="1:11" ht="49.95" customHeight="1">
      <c r="A24" s="2">
        <v>1.1100000000000001</v>
      </c>
      <c r="B24" s="139" t="s">
        <v>238</v>
      </c>
      <c r="C24" s="139"/>
      <c r="D24" s="139"/>
      <c r="E24" s="72"/>
      <c r="F24" s="75"/>
      <c r="G24" s="76"/>
      <c r="H24" s="76"/>
      <c r="I24" s="76"/>
      <c r="J24" s="76"/>
      <c r="K24" s="76">
        <f t="shared" si="0"/>
        <v>0</v>
      </c>
    </row>
    <row r="25" spans="1:11" ht="58.95" customHeight="1">
      <c r="A25" s="2">
        <v>1.1200000000000001</v>
      </c>
      <c r="B25" s="139" t="s">
        <v>239</v>
      </c>
      <c r="C25" s="139"/>
      <c r="D25" s="139"/>
      <c r="E25" s="72"/>
      <c r="F25" s="75"/>
      <c r="G25" s="76"/>
      <c r="H25" s="76"/>
      <c r="I25" s="76"/>
      <c r="J25" s="76"/>
      <c r="K25" s="76">
        <f t="shared" si="0"/>
        <v>0</v>
      </c>
    </row>
    <row r="26" spans="1:11" ht="94.95" customHeight="1">
      <c r="A26" s="7">
        <v>1.1299999999999999</v>
      </c>
      <c r="B26" s="139" t="s">
        <v>240</v>
      </c>
      <c r="C26" s="139"/>
      <c r="D26" s="139"/>
      <c r="E26" s="72"/>
      <c r="F26" s="75"/>
      <c r="G26" s="76"/>
      <c r="H26" s="76"/>
      <c r="I26" s="76"/>
      <c r="J26" s="76"/>
      <c r="K26" s="76">
        <f t="shared" si="0"/>
        <v>0</v>
      </c>
    </row>
    <row r="27" spans="1:11" ht="74.7" customHeight="1">
      <c r="A27" s="2">
        <v>1.1399999999999999</v>
      </c>
      <c r="B27" s="139" t="s">
        <v>241</v>
      </c>
      <c r="C27" s="139"/>
      <c r="D27" s="139"/>
      <c r="E27" s="72"/>
      <c r="F27" s="75"/>
      <c r="G27" s="76" t="s">
        <v>256</v>
      </c>
      <c r="H27" s="76"/>
      <c r="I27" s="76"/>
      <c r="J27" s="76"/>
      <c r="K27" s="76">
        <f t="shared" si="0"/>
        <v>0</v>
      </c>
    </row>
    <row r="28" spans="1:11" ht="73.5" customHeight="1">
      <c r="A28" s="2">
        <v>1.1499999999999999</v>
      </c>
      <c r="B28" s="139" t="s">
        <v>242</v>
      </c>
      <c r="C28" s="139"/>
      <c r="D28" s="139"/>
      <c r="E28" s="72"/>
      <c r="F28" s="75"/>
      <c r="G28" s="76" t="s">
        <v>256</v>
      </c>
      <c r="H28" s="76"/>
      <c r="I28" s="76"/>
      <c r="J28" s="76"/>
      <c r="K28" s="76">
        <f t="shared" si="0"/>
        <v>0</v>
      </c>
    </row>
    <row r="29" spans="1:11" ht="42" customHeight="1">
      <c r="A29" s="7">
        <v>1.1599999999999999</v>
      </c>
      <c r="B29" s="139" t="s">
        <v>243</v>
      </c>
      <c r="C29" s="139"/>
      <c r="D29" s="139"/>
      <c r="E29" s="72"/>
      <c r="F29" s="75"/>
      <c r="G29" s="76" t="s">
        <v>256</v>
      </c>
      <c r="H29" s="76"/>
      <c r="I29" s="76"/>
      <c r="J29" s="76"/>
      <c r="K29" s="76">
        <f t="shared" si="0"/>
        <v>0</v>
      </c>
    </row>
    <row r="30" spans="1:11" ht="52.5" customHeight="1">
      <c r="A30" s="184" t="s">
        <v>254</v>
      </c>
      <c r="B30" s="185"/>
      <c r="C30" s="185"/>
      <c r="D30" s="185"/>
      <c r="E30" s="104"/>
      <c r="F30" s="104"/>
      <c r="G30" s="104"/>
      <c r="H30" s="104"/>
      <c r="I30" s="186">
        <f>SUM(K14:K29)</f>
        <v>0</v>
      </c>
      <c r="J30" s="187"/>
      <c r="K30" s="187"/>
    </row>
    <row r="31" spans="1:11" ht="21" customHeight="1">
      <c r="D31" s="1"/>
      <c r="E31" s="1"/>
    </row>
    <row r="32" spans="1:11" ht="37.200000000000003" customHeight="1">
      <c r="A32" s="108" t="s">
        <v>1</v>
      </c>
      <c r="B32" s="108"/>
      <c r="C32" s="108"/>
      <c r="D32" s="108"/>
      <c r="E32" s="108"/>
      <c r="F32" s="108"/>
      <c r="G32" s="108"/>
      <c r="H32" s="108"/>
      <c r="I32" s="108"/>
      <c r="J32" s="108"/>
      <c r="K32" s="108"/>
    </row>
    <row r="33" spans="1:11" ht="28.2" customHeight="1">
      <c r="A33" s="162"/>
      <c r="B33" s="162"/>
      <c r="C33" s="162"/>
      <c r="D33" s="162"/>
      <c r="E33" s="162"/>
      <c r="F33" s="162"/>
      <c r="G33" s="162"/>
      <c r="H33" s="162"/>
      <c r="I33" s="162"/>
      <c r="J33" s="162"/>
      <c r="K33" s="162"/>
    </row>
    <row r="34" spans="1:11" ht="28.2" customHeight="1">
      <c r="A34" s="162"/>
      <c r="B34" s="162"/>
      <c r="C34" s="162"/>
      <c r="D34" s="162"/>
      <c r="E34" s="162"/>
      <c r="F34" s="162"/>
      <c r="G34" s="162"/>
      <c r="H34" s="162"/>
      <c r="I34" s="162"/>
      <c r="J34" s="162"/>
      <c r="K34" s="162"/>
    </row>
    <row r="35" spans="1:11" ht="28.2" customHeight="1">
      <c r="A35" s="162"/>
      <c r="B35" s="162"/>
      <c r="C35" s="162"/>
      <c r="D35" s="162"/>
      <c r="E35" s="162"/>
      <c r="F35" s="162"/>
      <c r="G35" s="162"/>
      <c r="H35" s="162"/>
      <c r="I35" s="162"/>
      <c r="J35" s="162"/>
      <c r="K35" s="162"/>
    </row>
    <row r="36" spans="1:11" ht="28.2" customHeight="1">
      <c r="A36" s="162"/>
      <c r="B36" s="162"/>
      <c r="C36" s="162"/>
      <c r="D36" s="162"/>
      <c r="E36" s="162"/>
      <c r="F36" s="162"/>
      <c r="G36" s="162"/>
      <c r="H36" s="162"/>
      <c r="I36" s="162"/>
      <c r="J36" s="162"/>
      <c r="K36" s="162"/>
    </row>
    <row r="37" spans="1:11" ht="28.2" customHeight="1">
      <c r="A37" s="162"/>
      <c r="B37" s="162"/>
      <c r="C37" s="162"/>
      <c r="D37" s="162"/>
      <c r="E37" s="162"/>
      <c r="F37" s="162"/>
      <c r="G37" s="162"/>
      <c r="H37" s="162"/>
      <c r="I37" s="162"/>
      <c r="J37" s="162"/>
      <c r="K37" s="162"/>
    </row>
  </sheetData>
  <mergeCells count="49">
    <mergeCell ref="A5:B5"/>
    <mergeCell ref="C5:E5"/>
    <mergeCell ref="F5:G5"/>
    <mergeCell ref="H5:K5"/>
    <mergeCell ref="A2:K3"/>
    <mergeCell ref="A4:B4"/>
    <mergeCell ref="C4:E4"/>
    <mergeCell ref="F4:G4"/>
    <mergeCell ref="H4:K4"/>
    <mergeCell ref="A6:B6"/>
    <mergeCell ref="C6:E6"/>
    <mergeCell ref="F6:G6"/>
    <mergeCell ref="H6:K6"/>
    <mergeCell ref="A7:B7"/>
    <mergeCell ref="C7:E7"/>
    <mergeCell ref="F7:G7"/>
    <mergeCell ref="H7:K7"/>
    <mergeCell ref="A8:B8"/>
    <mergeCell ref="C8:E8"/>
    <mergeCell ref="F8:G8"/>
    <mergeCell ref="H8:K8"/>
    <mergeCell ref="A9:B9"/>
    <mergeCell ref="C9:E9"/>
    <mergeCell ref="F9:G9"/>
    <mergeCell ref="H9:K9"/>
    <mergeCell ref="B15:D15"/>
    <mergeCell ref="B16:D16"/>
    <mergeCell ref="B17:D17"/>
    <mergeCell ref="A10:B10"/>
    <mergeCell ref="A11:K11"/>
    <mergeCell ref="B13:D13"/>
    <mergeCell ref="B14:D14"/>
    <mergeCell ref="B21:D21"/>
    <mergeCell ref="B22:D22"/>
    <mergeCell ref="B23:D23"/>
    <mergeCell ref="B18:D18"/>
    <mergeCell ref="B19:D19"/>
    <mergeCell ref="B20:D20"/>
    <mergeCell ref="B27:D27"/>
    <mergeCell ref="B28:D28"/>
    <mergeCell ref="B29:D29"/>
    <mergeCell ref="B24:D24"/>
    <mergeCell ref="B25:D25"/>
    <mergeCell ref="B26:D26"/>
    <mergeCell ref="A32:K32"/>
    <mergeCell ref="A33:K37"/>
    <mergeCell ref="A30:D30"/>
    <mergeCell ref="I30:K30"/>
    <mergeCell ref="E30:H30"/>
  </mergeCells>
  <printOptions horizontalCentered="1"/>
  <pageMargins left="0.2" right="0.2" top="0.25" bottom="0.25" header="0.3" footer="0.3"/>
  <pageSetup paperSize="8" scale="83"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D1:X65"/>
  <sheetViews>
    <sheetView showGridLines="0" zoomScale="60" zoomScaleNormal="60" workbookViewId="0">
      <selection activeCell="F11" sqref="F11"/>
    </sheetView>
  </sheetViews>
  <sheetFormatPr defaultRowHeight="18"/>
  <cols>
    <col min="1" max="1" width="4.109375" customWidth="1"/>
    <col min="2" max="2" width="26.109375" customWidth="1"/>
    <col min="3" max="3" width="1.6640625" customWidth="1"/>
    <col min="4" max="4" width="66.33203125" style="25" customWidth="1"/>
    <col min="5" max="5" width="1.6640625" style="25" customWidth="1"/>
    <col min="6" max="6" width="69.109375" style="25" customWidth="1"/>
    <col min="7" max="7" width="1.5546875" style="25" customWidth="1"/>
    <col min="8" max="8" width="57" style="25" customWidth="1"/>
    <col min="9" max="9" width="1.33203125" style="25" customWidth="1"/>
    <col min="10" max="10" width="62.5546875" style="25" customWidth="1"/>
    <col min="11" max="11" width="1.44140625" style="25" customWidth="1"/>
    <col min="12" max="12" width="53.88671875" style="25" customWidth="1"/>
    <col min="13" max="13" width="1.88671875" style="25" customWidth="1"/>
    <col min="14" max="14" width="57.88671875" style="25" customWidth="1"/>
    <col min="15" max="15" width="1.88671875" style="25" customWidth="1"/>
    <col min="16" max="16" width="45.5546875" style="25" customWidth="1"/>
    <col min="17" max="17" width="1.88671875" style="25" customWidth="1"/>
    <col min="18" max="18" width="51.88671875" style="25" customWidth="1"/>
    <col min="19" max="19" width="1.88671875" style="25" customWidth="1"/>
    <col min="20" max="20" width="39.109375" style="25" customWidth="1"/>
    <col min="21" max="21" width="1.88671875" style="25" customWidth="1"/>
    <col min="22" max="22" width="39.44140625" style="25" customWidth="1"/>
    <col min="23" max="23" width="1.88671875" style="25" customWidth="1"/>
    <col min="24" max="24" width="36.88671875" style="25" customWidth="1"/>
    <col min="25" max="25" width="3.44140625" customWidth="1"/>
    <col min="26" max="26" width="2.6640625" customWidth="1"/>
  </cols>
  <sheetData>
    <row r="1" spans="4:24" s="33" customFormat="1" ht="24" customHeight="1">
      <c r="D1" s="32"/>
      <c r="E1" s="32"/>
      <c r="F1" s="32"/>
      <c r="G1" s="32"/>
      <c r="H1" s="32"/>
      <c r="I1" s="32"/>
      <c r="J1" s="32"/>
      <c r="K1" s="32"/>
      <c r="L1" s="32"/>
      <c r="M1" s="32"/>
      <c r="N1" s="32"/>
      <c r="O1" s="32"/>
      <c r="P1" s="32"/>
      <c r="Q1" s="32"/>
      <c r="R1" s="32"/>
      <c r="S1" s="32"/>
      <c r="T1" s="32"/>
      <c r="U1" s="32"/>
      <c r="V1" s="32"/>
      <c r="W1" s="32"/>
      <c r="X1" s="32"/>
    </row>
    <row r="2" spans="4:24" s="33" customFormat="1" ht="24" customHeight="1">
      <c r="D2" s="32"/>
      <c r="E2" s="32"/>
      <c r="F2" s="32"/>
      <c r="G2" s="32"/>
      <c r="H2" s="32"/>
      <c r="I2" s="32"/>
      <c r="J2" s="32"/>
      <c r="K2" s="32"/>
      <c r="L2" s="32"/>
      <c r="M2" s="32"/>
      <c r="N2" s="32"/>
      <c r="O2" s="32"/>
      <c r="P2" s="32"/>
      <c r="Q2" s="32"/>
      <c r="R2" s="32"/>
      <c r="S2" s="32"/>
      <c r="T2" s="32"/>
      <c r="U2" s="32"/>
      <c r="V2" s="32"/>
      <c r="W2" s="32"/>
      <c r="X2" s="32"/>
    </row>
    <row r="3" spans="4:24" ht="14.4">
      <c r="D3"/>
      <c r="E3"/>
      <c r="F3"/>
      <c r="G3"/>
      <c r="H3"/>
      <c r="I3"/>
      <c r="J3"/>
      <c r="K3"/>
      <c r="L3"/>
      <c r="M3"/>
      <c r="N3"/>
      <c r="O3"/>
      <c r="P3"/>
      <c r="Q3"/>
      <c r="R3"/>
      <c r="S3"/>
      <c r="T3"/>
      <c r="U3"/>
      <c r="V3"/>
      <c r="W3"/>
      <c r="X3"/>
    </row>
    <row r="4" spans="4:24" s="35" customFormat="1" ht="37.200000000000003" customHeight="1">
      <c r="D4" s="30" t="s">
        <v>92</v>
      </c>
      <c r="E4" s="31"/>
      <c r="F4" s="30" t="s">
        <v>92</v>
      </c>
      <c r="G4" s="31"/>
      <c r="H4" s="30" t="s">
        <v>92</v>
      </c>
      <c r="I4" s="31"/>
      <c r="J4" s="30" t="s">
        <v>92</v>
      </c>
      <c r="K4" s="31"/>
      <c r="L4" s="30" t="s">
        <v>92</v>
      </c>
      <c r="M4" s="31"/>
      <c r="N4" s="30" t="s">
        <v>92</v>
      </c>
      <c r="O4" s="31"/>
      <c r="P4" s="30" t="s">
        <v>92</v>
      </c>
      <c r="Q4" s="31"/>
      <c r="R4" s="31"/>
      <c r="S4" s="31"/>
      <c r="T4" s="31"/>
      <c r="U4" s="31"/>
      <c r="V4" s="31"/>
      <c r="W4" s="31"/>
      <c r="X4" s="31"/>
    </row>
    <row r="5" spans="4:24" s="35" customFormat="1" ht="37.200000000000003" customHeight="1">
      <c r="D5" s="31" t="s">
        <v>81</v>
      </c>
      <c r="E5" s="31"/>
      <c r="F5" s="31" t="s">
        <v>95</v>
      </c>
      <c r="G5" s="31"/>
      <c r="H5" s="31" t="s">
        <v>96</v>
      </c>
      <c r="I5" s="31"/>
      <c r="J5" s="31" t="s">
        <v>101</v>
      </c>
      <c r="K5" s="31"/>
      <c r="L5" s="31" t="s">
        <v>88</v>
      </c>
      <c r="M5" s="31"/>
      <c r="N5" s="31" t="s">
        <v>89</v>
      </c>
      <c r="O5" s="31"/>
      <c r="P5" s="31" t="s">
        <v>90</v>
      </c>
      <c r="Q5" s="31"/>
      <c r="R5" s="31"/>
      <c r="S5" s="31"/>
      <c r="T5" s="31"/>
      <c r="U5" s="31"/>
      <c r="V5" s="31"/>
      <c r="W5" s="31"/>
      <c r="X5" s="31"/>
    </row>
    <row r="6" spans="4:24" s="35" customFormat="1" ht="37.200000000000003" customHeight="1">
      <c r="D6" s="36" t="s">
        <v>93</v>
      </c>
      <c r="E6" s="31"/>
      <c r="F6" s="36" t="s">
        <v>93</v>
      </c>
      <c r="G6" s="31"/>
      <c r="H6" s="36" t="s">
        <v>93</v>
      </c>
      <c r="I6" s="31"/>
      <c r="J6" s="36" t="s">
        <v>93</v>
      </c>
      <c r="K6" s="31"/>
      <c r="L6" s="36" t="s">
        <v>93</v>
      </c>
      <c r="M6" s="31"/>
      <c r="N6" s="36" t="s">
        <v>93</v>
      </c>
      <c r="O6" s="31"/>
      <c r="P6" s="36" t="s">
        <v>93</v>
      </c>
      <c r="Q6" s="31"/>
      <c r="R6" s="31"/>
      <c r="S6" s="31"/>
      <c r="T6" s="31"/>
      <c r="U6" s="31"/>
      <c r="V6" s="31"/>
      <c r="W6" s="31"/>
      <c r="X6" s="31"/>
    </row>
    <row r="7" spans="4:24" s="35" customFormat="1" ht="37.200000000000003" customHeight="1">
      <c r="D7" s="37" t="s">
        <v>103</v>
      </c>
      <c r="E7" s="31"/>
      <c r="F7" s="37" t="s">
        <v>99</v>
      </c>
      <c r="G7" s="31"/>
      <c r="H7" s="37" t="s">
        <v>102</v>
      </c>
      <c r="I7" s="31"/>
      <c r="J7" s="37" t="s">
        <v>102</v>
      </c>
      <c r="K7" s="31"/>
      <c r="L7" s="37" t="s">
        <v>102</v>
      </c>
      <c r="M7" s="31"/>
      <c r="N7" s="37" t="s">
        <v>102</v>
      </c>
      <c r="O7" s="31"/>
      <c r="P7" s="37" t="s">
        <v>102</v>
      </c>
      <c r="Q7" s="31"/>
      <c r="R7" s="31"/>
      <c r="S7" s="31"/>
      <c r="T7" s="31"/>
      <c r="U7" s="31"/>
      <c r="V7" s="31"/>
      <c r="W7" s="31"/>
      <c r="X7" s="31"/>
    </row>
    <row r="8" spans="4:24" s="35" customFormat="1" ht="37.200000000000003" customHeight="1">
      <c r="D8" s="38" t="s">
        <v>104</v>
      </c>
      <c r="E8" s="31"/>
      <c r="F8" s="38" t="s">
        <v>100</v>
      </c>
      <c r="G8" s="31"/>
      <c r="H8" s="38" t="s">
        <v>97</v>
      </c>
      <c r="I8" s="31"/>
      <c r="J8" s="38" t="s">
        <v>100</v>
      </c>
      <c r="K8" s="31"/>
      <c r="L8" s="38" t="s">
        <v>100</v>
      </c>
      <c r="M8" s="31"/>
      <c r="N8" s="38" t="s">
        <v>105</v>
      </c>
      <c r="O8" s="31"/>
      <c r="P8" s="38" t="s">
        <v>100</v>
      </c>
      <c r="Q8" s="31"/>
      <c r="R8" s="31"/>
      <c r="S8" s="31"/>
      <c r="T8" s="31"/>
      <c r="U8" s="31"/>
      <c r="V8" s="31"/>
      <c r="W8" s="31"/>
      <c r="X8" s="31"/>
    </row>
    <row r="9" spans="4:24" s="35" customFormat="1" ht="37.200000000000003" customHeight="1">
      <c r="D9" s="39" t="s">
        <v>118</v>
      </c>
      <c r="E9" s="31"/>
      <c r="F9" s="39" t="s">
        <v>94</v>
      </c>
      <c r="G9" s="31"/>
      <c r="H9" s="39" t="s">
        <v>98</v>
      </c>
      <c r="I9" s="31"/>
      <c r="J9" s="39" t="s">
        <v>94</v>
      </c>
      <c r="K9" s="31"/>
      <c r="L9" s="39" t="s">
        <v>94</v>
      </c>
      <c r="M9" s="31"/>
      <c r="N9" s="39" t="s">
        <v>106</v>
      </c>
      <c r="O9" s="31"/>
      <c r="P9" s="39" t="s">
        <v>106</v>
      </c>
      <c r="Q9" s="31"/>
      <c r="R9" s="31"/>
      <c r="S9" s="31"/>
      <c r="T9" s="31"/>
      <c r="U9" s="31"/>
      <c r="V9" s="31"/>
      <c r="W9" s="31"/>
      <c r="X9" s="31"/>
    </row>
    <row r="10" spans="4:24" s="35" customFormat="1" ht="37.200000000000003" customHeight="1">
      <c r="D10" s="31"/>
      <c r="E10" s="31"/>
      <c r="F10" s="31"/>
      <c r="G10" s="31"/>
      <c r="H10" s="31"/>
      <c r="I10" s="31"/>
      <c r="J10" s="31"/>
      <c r="K10" s="31"/>
      <c r="L10" s="31"/>
      <c r="M10" s="31"/>
      <c r="N10" s="31"/>
      <c r="O10" s="31"/>
      <c r="P10" s="31"/>
      <c r="Q10" s="31"/>
      <c r="R10" s="31"/>
      <c r="S10" s="31"/>
      <c r="T10" s="31"/>
      <c r="U10" s="31"/>
      <c r="V10" s="31"/>
      <c r="W10" s="31"/>
      <c r="X10" s="31"/>
    </row>
    <row r="11" spans="4:24" s="35" customFormat="1" ht="37.200000000000003" customHeight="1">
      <c r="D11" s="30" t="s">
        <v>110</v>
      </c>
      <c r="E11" s="31"/>
      <c r="F11" s="30" t="s">
        <v>110</v>
      </c>
      <c r="G11" s="31"/>
      <c r="H11" s="30" t="s">
        <v>110</v>
      </c>
      <c r="I11" s="31"/>
      <c r="J11" s="31"/>
      <c r="K11" s="31"/>
      <c r="L11" s="31"/>
      <c r="M11" s="31"/>
      <c r="N11" s="31"/>
      <c r="O11" s="31"/>
      <c r="P11" s="31"/>
      <c r="Q11" s="31"/>
      <c r="R11" s="31"/>
      <c r="S11" s="31"/>
      <c r="T11" s="31"/>
      <c r="U11" s="31"/>
      <c r="V11" s="31"/>
      <c r="W11" s="31"/>
      <c r="X11" s="31"/>
    </row>
    <row r="12" spans="4:24" s="35" customFormat="1" ht="37.200000000000003" customHeight="1">
      <c r="D12" s="31" t="s">
        <v>111</v>
      </c>
      <c r="E12" s="31"/>
      <c r="F12" s="31" t="s">
        <v>108</v>
      </c>
      <c r="G12" s="31"/>
      <c r="H12" s="31" t="s">
        <v>109</v>
      </c>
      <c r="I12" s="31"/>
      <c r="J12" s="31"/>
      <c r="K12" s="31"/>
      <c r="L12" s="31"/>
      <c r="M12" s="31"/>
      <c r="N12" s="31"/>
      <c r="O12" s="31"/>
      <c r="P12" s="31"/>
      <c r="Q12" s="31"/>
      <c r="R12" s="31"/>
      <c r="S12" s="31"/>
      <c r="T12" s="31"/>
      <c r="U12" s="31"/>
      <c r="V12" s="31"/>
      <c r="W12" s="31"/>
      <c r="X12" s="31"/>
    </row>
    <row r="13" spans="4:24" s="35" customFormat="1" ht="37.200000000000003" customHeight="1">
      <c r="D13" s="36" t="s">
        <v>93</v>
      </c>
      <c r="E13" s="31"/>
      <c r="F13" s="36" t="s">
        <v>93</v>
      </c>
      <c r="G13" s="31"/>
      <c r="H13" s="36" t="s">
        <v>93</v>
      </c>
      <c r="I13" s="31"/>
      <c r="J13" s="31"/>
      <c r="K13" s="31"/>
      <c r="L13" s="31"/>
      <c r="M13" s="31"/>
      <c r="N13" s="31"/>
      <c r="O13" s="31"/>
      <c r="P13" s="31"/>
      <c r="Q13" s="31"/>
      <c r="R13" s="31"/>
      <c r="S13" s="31"/>
      <c r="T13" s="31"/>
      <c r="U13" s="31"/>
      <c r="V13" s="31"/>
      <c r="W13" s="31"/>
      <c r="X13" s="31"/>
    </row>
    <row r="14" spans="4:24" s="35" customFormat="1" ht="37.200000000000003" customHeight="1">
      <c r="D14" s="37" t="s">
        <v>112</v>
      </c>
      <c r="E14" s="31"/>
      <c r="F14" s="37" t="s">
        <v>115</v>
      </c>
      <c r="G14" s="31"/>
      <c r="H14" s="37" t="s">
        <v>119</v>
      </c>
      <c r="I14" s="31"/>
      <c r="J14" s="31"/>
      <c r="K14" s="31"/>
      <c r="L14" s="31"/>
      <c r="M14" s="31"/>
      <c r="N14" s="31"/>
      <c r="O14" s="31"/>
      <c r="P14" s="31"/>
      <c r="Q14" s="31"/>
      <c r="R14" s="31"/>
      <c r="S14" s="31"/>
      <c r="T14" s="31"/>
      <c r="U14" s="31"/>
      <c r="V14" s="31"/>
      <c r="W14" s="31"/>
      <c r="X14" s="31"/>
    </row>
    <row r="15" spans="4:24" s="35" customFormat="1" ht="37.200000000000003" customHeight="1">
      <c r="D15" s="38" t="s">
        <v>113</v>
      </c>
      <c r="E15" s="31"/>
      <c r="F15" s="38" t="s">
        <v>117</v>
      </c>
      <c r="G15" s="31"/>
      <c r="H15" s="38" t="s">
        <v>120</v>
      </c>
      <c r="I15" s="31"/>
      <c r="J15" s="31"/>
      <c r="K15" s="31"/>
      <c r="L15" s="31"/>
      <c r="M15" s="31"/>
      <c r="N15" s="31"/>
      <c r="O15" s="31"/>
      <c r="P15" s="31"/>
      <c r="Q15" s="31"/>
      <c r="R15" s="31"/>
      <c r="S15" s="31"/>
      <c r="T15" s="31"/>
      <c r="U15" s="31"/>
      <c r="V15" s="31"/>
      <c r="W15" s="31"/>
      <c r="X15" s="31"/>
    </row>
    <row r="16" spans="4:24" s="35" customFormat="1" ht="37.200000000000003" customHeight="1">
      <c r="D16" s="39" t="s">
        <v>114</v>
      </c>
      <c r="E16" s="31"/>
      <c r="F16" s="39" t="s">
        <v>116</v>
      </c>
      <c r="G16" s="31"/>
      <c r="H16" s="39" t="s">
        <v>114</v>
      </c>
      <c r="I16" s="31"/>
      <c r="J16" s="31"/>
      <c r="K16" s="31"/>
      <c r="L16" s="31"/>
      <c r="M16" s="31"/>
      <c r="N16" s="31"/>
      <c r="O16" s="31"/>
      <c r="P16" s="31"/>
      <c r="Q16" s="31"/>
      <c r="R16" s="31"/>
      <c r="S16" s="31"/>
      <c r="T16" s="31"/>
      <c r="U16" s="31"/>
      <c r="V16" s="31"/>
      <c r="W16" s="31"/>
      <c r="X16" s="31"/>
    </row>
    <row r="17" spans="4:24" s="35" customFormat="1" ht="37.200000000000003" customHeight="1">
      <c r="D17" s="40"/>
      <c r="E17" s="31"/>
      <c r="F17" s="31"/>
      <c r="G17" s="31"/>
      <c r="H17" s="31"/>
      <c r="I17" s="31"/>
      <c r="J17" s="31"/>
      <c r="K17" s="31"/>
      <c r="L17" s="31"/>
      <c r="M17" s="31"/>
      <c r="N17" s="31"/>
      <c r="O17" s="31"/>
      <c r="P17" s="31"/>
      <c r="Q17" s="31"/>
      <c r="R17" s="31"/>
      <c r="S17" s="31"/>
      <c r="T17" s="31"/>
      <c r="U17" s="31"/>
      <c r="V17" s="31"/>
      <c r="W17" s="31"/>
      <c r="X17" s="31"/>
    </row>
    <row r="18" spans="4:24" s="35" customFormat="1" ht="37.200000000000003" customHeight="1">
      <c r="D18" s="30" t="s">
        <v>121</v>
      </c>
      <c r="E18" s="31"/>
      <c r="F18" s="30" t="s">
        <v>121</v>
      </c>
      <c r="G18" s="31"/>
      <c r="H18" s="30" t="s">
        <v>121</v>
      </c>
      <c r="I18" s="31"/>
      <c r="J18" s="30" t="s">
        <v>121</v>
      </c>
      <c r="K18" s="31"/>
      <c r="L18" s="30" t="s">
        <v>121</v>
      </c>
      <c r="M18" s="31"/>
      <c r="N18" s="30" t="s">
        <v>121</v>
      </c>
      <c r="O18" s="31"/>
      <c r="P18" s="30" t="s">
        <v>121</v>
      </c>
      <c r="Q18" s="31"/>
      <c r="R18" s="30" t="s">
        <v>121</v>
      </c>
      <c r="S18" s="31"/>
      <c r="T18" s="30" t="s">
        <v>121</v>
      </c>
      <c r="U18" s="31"/>
      <c r="V18" s="30" t="s">
        <v>121</v>
      </c>
      <c r="W18" s="31"/>
      <c r="X18" s="30" t="s">
        <v>121</v>
      </c>
    </row>
    <row r="19" spans="4:24" s="35" customFormat="1" ht="37.200000000000003" customHeight="1">
      <c r="D19" s="31" t="s">
        <v>45</v>
      </c>
      <c r="E19" s="31"/>
      <c r="F19" s="31" t="s">
        <v>46</v>
      </c>
      <c r="G19" s="31"/>
      <c r="H19" s="31" t="s">
        <v>47</v>
      </c>
      <c r="I19" s="31"/>
      <c r="J19" s="31" t="s">
        <v>48</v>
      </c>
      <c r="K19" s="31"/>
      <c r="L19" s="31" t="s">
        <v>49</v>
      </c>
      <c r="M19" s="31"/>
      <c r="N19" s="31" t="s">
        <v>50</v>
      </c>
      <c r="O19" s="31"/>
      <c r="P19" s="31" t="s">
        <v>51</v>
      </c>
      <c r="Q19" s="31"/>
      <c r="R19" s="31" t="s">
        <v>52</v>
      </c>
      <c r="S19" s="31"/>
      <c r="T19" s="31" t="s">
        <v>53</v>
      </c>
      <c r="U19" s="31"/>
      <c r="V19" s="31" t="s">
        <v>54</v>
      </c>
      <c r="W19" s="31"/>
      <c r="X19" s="31" t="s">
        <v>55</v>
      </c>
    </row>
    <row r="20" spans="4:24" s="35" customFormat="1" ht="37.200000000000003" customHeight="1">
      <c r="D20" s="36" t="s">
        <v>122</v>
      </c>
      <c r="E20" s="31"/>
      <c r="F20" s="36" t="s">
        <v>122</v>
      </c>
      <c r="G20" s="31"/>
      <c r="H20" s="36" t="s">
        <v>122</v>
      </c>
      <c r="I20" s="31"/>
      <c r="J20" s="36" t="s">
        <v>122</v>
      </c>
      <c r="K20" s="31"/>
      <c r="L20" s="36" t="s">
        <v>122</v>
      </c>
      <c r="M20" s="31"/>
      <c r="N20" s="36" t="s">
        <v>122</v>
      </c>
      <c r="O20" s="31"/>
      <c r="P20" s="36" t="s">
        <v>122</v>
      </c>
      <c r="Q20" s="31"/>
      <c r="R20" s="36" t="s">
        <v>122</v>
      </c>
      <c r="S20" s="31"/>
      <c r="T20" s="36" t="s">
        <v>122</v>
      </c>
      <c r="U20" s="31"/>
      <c r="V20" s="36" t="s">
        <v>122</v>
      </c>
      <c r="W20" s="31"/>
      <c r="X20" s="36" t="s">
        <v>122</v>
      </c>
    </row>
    <row r="21" spans="4:24" s="35" customFormat="1" ht="37.200000000000003" customHeight="1">
      <c r="D21" s="37" t="s">
        <v>123</v>
      </c>
      <c r="E21" s="31"/>
      <c r="F21" s="37" t="s">
        <v>123</v>
      </c>
      <c r="G21" s="31"/>
      <c r="H21" s="37" t="s">
        <v>123</v>
      </c>
      <c r="I21" s="31"/>
      <c r="J21" s="37" t="s">
        <v>123</v>
      </c>
      <c r="K21" s="31"/>
      <c r="L21" s="37" t="s">
        <v>123</v>
      </c>
      <c r="M21" s="31"/>
      <c r="N21" s="37" t="s">
        <v>123</v>
      </c>
      <c r="O21" s="31"/>
      <c r="P21" s="37" t="s">
        <v>128</v>
      </c>
      <c r="Q21" s="31"/>
      <c r="R21" s="37" t="s">
        <v>128</v>
      </c>
      <c r="S21" s="31"/>
      <c r="T21" s="37" t="s">
        <v>128</v>
      </c>
      <c r="U21" s="31"/>
      <c r="V21" s="37" t="s">
        <v>128</v>
      </c>
      <c r="W21" s="31"/>
      <c r="X21" s="37" t="s">
        <v>128</v>
      </c>
    </row>
    <row r="22" spans="4:24" s="35" customFormat="1" ht="37.200000000000003" customHeight="1">
      <c r="D22" s="38" t="s">
        <v>124</v>
      </c>
      <c r="E22" s="31"/>
      <c r="F22" s="38" t="s">
        <v>124</v>
      </c>
      <c r="G22" s="31"/>
      <c r="H22" s="38" t="s">
        <v>124</v>
      </c>
      <c r="I22" s="31"/>
      <c r="J22" s="38" t="s">
        <v>124</v>
      </c>
      <c r="K22" s="31"/>
      <c r="L22" s="38" t="s">
        <v>126</v>
      </c>
      <c r="M22" s="31"/>
      <c r="N22" s="38" t="s">
        <v>126</v>
      </c>
      <c r="O22" s="31"/>
      <c r="P22" s="38" t="s">
        <v>129</v>
      </c>
      <c r="Q22" s="31"/>
      <c r="R22" s="38" t="s">
        <v>201</v>
      </c>
      <c r="S22" s="31"/>
      <c r="T22" s="38" t="s">
        <v>131</v>
      </c>
      <c r="U22" s="31"/>
      <c r="V22" s="38" t="s">
        <v>201</v>
      </c>
      <c r="W22" s="31"/>
      <c r="X22" s="38" t="s">
        <v>131</v>
      </c>
    </row>
    <row r="23" spans="4:24" s="35" customFormat="1" ht="37.200000000000003" customHeight="1">
      <c r="D23" s="39" t="s">
        <v>125</v>
      </c>
      <c r="E23" s="31"/>
      <c r="F23" s="39" t="s">
        <v>125</v>
      </c>
      <c r="G23" s="31"/>
      <c r="H23" s="39" t="s">
        <v>125</v>
      </c>
      <c r="I23" s="31"/>
      <c r="J23" s="39" t="s">
        <v>125</v>
      </c>
      <c r="K23" s="31"/>
      <c r="L23" s="39" t="s">
        <v>127</v>
      </c>
      <c r="M23" s="31"/>
      <c r="N23" s="39" t="s">
        <v>127</v>
      </c>
      <c r="O23" s="31"/>
      <c r="P23" s="39" t="s">
        <v>130</v>
      </c>
      <c r="Q23" s="31"/>
      <c r="R23" s="39" t="s">
        <v>132</v>
      </c>
      <c r="S23" s="31"/>
      <c r="T23" s="39" t="s">
        <v>132</v>
      </c>
      <c r="U23" s="31"/>
      <c r="V23" s="39" t="s">
        <v>132</v>
      </c>
      <c r="W23" s="31"/>
      <c r="X23" s="39" t="s">
        <v>132</v>
      </c>
    </row>
    <row r="24" spans="4:24" s="35" customFormat="1" ht="37.200000000000003" customHeight="1">
      <c r="D24" s="31"/>
      <c r="E24" s="31"/>
      <c r="F24" s="31"/>
      <c r="G24" s="31"/>
      <c r="H24" s="31"/>
      <c r="I24" s="31"/>
      <c r="J24" s="31"/>
      <c r="K24" s="31"/>
      <c r="L24" s="31"/>
      <c r="M24" s="31"/>
      <c r="N24" s="31"/>
      <c r="O24" s="31"/>
      <c r="P24" s="31"/>
      <c r="Q24" s="31"/>
      <c r="R24" s="31"/>
      <c r="S24" s="31"/>
      <c r="T24" s="31"/>
      <c r="U24" s="31"/>
      <c r="V24" s="31"/>
      <c r="W24" s="31"/>
      <c r="X24" s="31"/>
    </row>
    <row r="25" spans="4:24" s="35" customFormat="1" ht="37.200000000000003" customHeight="1">
      <c r="D25" s="30" t="s">
        <v>133</v>
      </c>
      <c r="E25" s="31"/>
      <c r="F25" s="30" t="s">
        <v>133</v>
      </c>
      <c r="G25" s="31"/>
      <c r="H25" s="30" t="s">
        <v>133</v>
      </c>
      <c r="I25" s="31"/>
      <c r="J25" s="30" t="s">
        <v>133</v>
      </c>
      <c r="K25" s="31"/>
      <c r="L25" s="30" t="s">
        <v>133</v>
      </c>
      <c r="M25" s="31"/>
      <c r="N25" s="30" t="s">
        <v>133</v>
      </c>
      <c r="O25" s="31"/>
      <c r="P25" s="30" t="s">
        <v>133</v>
      </c>
      <c r="Q25" s="31"/>
      <c r="R25" s="30" t="s">
        <v>133</v>
      </c>
      <c r="S25" s="31"/>
      <c r="T25" s="30" t="s">
        <v>133</v>
      </c>
      <c r="U25" s="31"/>
      <c r="V25" s="30" t="s">
        <v>133</v>
      </c>
      <c r="W25" s="31"/>
      <c r="X25" s="31"/>
    </row>
    <row r="26" spans="4:24" s="35" customFormat="1" ht="37.200000000000003" customHeight="1">
      <c r="D26" s="31" t="s">
        <v>35</v>
      </c>
      <c r="E26" s="31"/>
      <c r="F26" s="31" t="s">
        <v>36</v>
      </c>
      <c r="G26" s="31"/>
      <c r="H26" s="31" t="s">
        <v>37</v>
      </c>
      <c r="I26" s="31"/>
      <c r="J26" s="31" t="s">
        <v>38</v>
      </c>
      <c r="K26" s="31"/>
      <c r="L26" s="31" t="s">
        <v>39</v>
      </c>
      <c r="M26" s="31"/>
      <c r="N26" s="31" t="s">
        <v>40</v>
      </c>
      <c r="O26" s="31"/>
      <c r="P26" s="31" t="s">
        <v>41</v>
      </c>
      <c r="Q26" s="31"/>
      <c r="R26" s="31" t="s">
        <v>42</v>
      </c>
      <c r="S26" s="31"/>
      <c r="T26" s="31" t="s">
        <v>43</v>
      </c>
      <c r="U26" s="31"/>
      <c r="V26" s="31" t="s">
        <v>44</v>
      </c>
      <c r="W26" s="31"/>
      <c r="X26" s="31"/>
    </row>
    <row r="27" spans="4:24" s="35" customFormat="1" ht="37.200000000000003" customHeight="1">
      <c r="D27" s="36" t="s">
        <v>122</v>
      </c>
      <c r="E27" s="31"/>
      <c r="F27" s="36" t="s">
        <v>122</v>
      </c>
      <c r="G27" s="31"/>
      <c r="H27" s="36" t="s">
        <v>122</v>
      </c>
      <c r="I27" s="31"/>
      <c r="J27" s="36" t="s">
        <v>122</v>
      </c>
      <c r="K27" s="31"/>
      <c r="L27" s="36" t="s">
        <v>122</v>
      </c>
      <c r="M27" s="31"/>
      <c r="N27" s="36" t="s">
        <v>122</v>
      </c>
      <c r="O27" s="31"/>
      <c r="P27" s="36" t="s">
        <v>122</v>
      </c>
      <c r="Q27" s="31"/>
      <c r="R27" s="36" t="s">
        <v>122</v>
      </c>
      <c r="S27" s="31"/>
      <c r="T27" s="36" t="s">
        <v>122</v>
      </c>
      <c r="U27" s="31"/>
      <c r="V27" s="36" t="s">
        <v>122</v>
      </c>
      <c r="W27" s="31"/>
      <c r="X27" s="31"/>
    </row>
    <row r="28" spans="4:24" s="35" customFormat="1" ht="37.200000000000003" customHeight="1">
      <c r="D28" s="37" t="s">
        <v>134</v>
      </c>
      <c r="E28" s="31"/>
      <c r="F28" s="37" t="s">
        <v>134</v>
      </c>
      <c r="G28" s="31"/>
      <c r="H28" s="37" t="s">
        <v>134</v>
      </c>
      <c r="I28" s="31"/>
      <c r="J28" s="37" t="s">
        <v>134</v>
      </c>
      <c r="K28" s="31"/>
      <c r="L28" s="37" t="s">
        <v>139</v>
      </c>
      <c r="M28" s="31"/>
      <c r="N28" s="37" t="s">
        <v>146</v>
      </c>
      <c r="O28" s="31"/>
      <c r="P28" s="37" t="s">
        <v>141</v>
      </c>
      <c r="Q28" s="31"/>
      <c r="R28" s="37" t="s">
        <v>144</v>
      </c>
      <c r="S28" s="31"/>
      <c r="T28" s="37" t="s">
        <v>123</v>
      </c>
      <c r="U28" s="31"/>
      <c r="V28" s="37" t="s">
        <v>123</v>
      </c>
      <c r="W28" s="31"/>
      <c r="X28" s="31"/>
    </row>
    <row r="29" spans="4:24" s="35" customFormat="1" ht="37.200000000000003" customHeight="1">
      <c r="D29" s="38" t="s">
        <v>135</v>
      </c>
      <c r="E29" s="31"/>
      <c r="F29" s="38" t="s">
        <v>124</v>
      </c>
      <c r="G29" s="31"/>
      <c r="H29" s="38" t="s">
        <v>124</v>
      </c>
      <c r="I29" s="31"/>
      <c r="J29" s="38" t="s">
        <v>124</v>
      </c>
      <c r="K29" s="31"/>
      <c r="L29" s="38" t="s">
        <v>140</v>
      </c>
      <c r="M29" s="31"/>
      <c r="N29" s="38" t="s">
        <v>142</v>
      </c>
      <c r="O29" s="31"/>
      <c r="P29" s="38" t="s">
        <v>142</v>
      </c>
      <c r="Q29" s="31"/>
      <c r="R29" s="38" t="s">
        <v>145</v>
      </c>
      <c r="S29" s="31"/>
      <c r="T29" s="38" t="s">
        <v>124</v>
      </c>
      <c r="U29" s="31"/>
      <c r="V29" s="38" t="s">
        <v>124</v>
      </c>
      <c r="W29" s="31"/>
      <c r="X29" s="31"/>
    </row>
    <row r="30" spans="4:24" s="35" customFormat="1" ht="37.200000000000003" customHeight="1">
      <c r="D30" s="39" t="s">
        <v>136</v>
      </c>
      <c r="E30" s="31"/>
      <c r="F30" s="39" t="s">
        <v>193</v>
      </c>
      <c r="G30" s="31"/>
      <c r="H30" s="39" t="s">
        <v>137</v>
      </c>
      <c r="I30" s="31"/>
      <c r="J30" s="39" t="s">
        <v>193</v>
      </c>
      <c r="K30" s="31"/>
      <c r="L30" s="39" t="s">
        <v>138</v>
      </c>
      <c r="M30" s="31"/>
      <c r="N30" s="39" t="s">
        <v>143</v>
      </c>
      <c r="O30" s="31"/>
      <c r="P30" s="39" t="s">
        <v>143</v>
      </c>
      <c r="Q30" s="31"/>
      <c r="R30" s="39" t="s">
        <v>147</v>
      </c>
      <c r="S30" s="31"/>
      <c r="T30" s="39" t="s">
        <v>125</v>
      </c>
      <c r="U30" s="31"/>
      <c r="V30" s="39" t="s">
        <v>125</v>
      </c>
      <c r="W30" s="31"/>
      <c r="X30" s="31"/>
    </row>
    <row r="31" spans="4:24" s="35" customFormat="1" ht="37.200000000000003" customHeight="1">
      <c r="D31" s="31"/>
      <c r="E31" s="31"/>
      <c r="F31" s="31"/>
      <c r="G31" s="31"/>
      <c r="H31" s="31"/>
      <c r="I31" s="31"/>
      <c r="J31" s="31"/>
      <c r="K31" s="31"/>
      <c r="L31" s="31"/>
      <c r="M31" s="31"/>
      <c r="N31" s="31"/>
      <c r="O31" s="31"/>
      <c r="P31" s="31"/>
      <c r="Q31" s="31"/>
      <c r="R31" s="31"/>
      <c r="S31" s="31"/>
      <c r="T31" s="31"/>
      <c r="U31" s="31"/>
      <c r="V31" s="31"/>
      <c r="W31" s="31"/>
      <c r="X31" s="31"/>
    </row>
    <row r="32" spans="4:24" s="35" customFormat="1" ht="37.200000000000003" customHeight="1">
      <c r="D32" s="30" t="s">
        <v>148</v>
      </c>
      <c r="E32" s="31"/>
      <c r="F32" s="30" t="s">
        <v>148</v>
      </c>
      <c r="G32" s="31"/>
      <c r="H32" s="30" t="s">
        <v>148</v>
      </c>
      <c r="I32" s="31"/>
      <c r="J32" s="30" t="s">
        <v>148</v>
      </c>
      <c r="K32" s="31"/>
      <c r="L32" s="30" t="s">
        <v>148</v>
      </c>
      <c r="M32" s="31"/>
      <c r="N32" s="30" t="s">
        <v>148</v>
      </c>
      <c r="O32" s="31"/>
      <c r="P32" s="31"/>
      <c r="Q32" s="31"/>
      <c r="R32" s="31"/>
      <c r="S32" s="31"/>
      <c r="T32" s="31"/>
      <c r="U32" s="31"/>
      <c r="V32" s="31"/>
      <c r="W32" s="31"/>
      <c r="X32" s="31"/>
    </row>
    <row r="33" spans="4:24" s="35" customFormat="1" ht="37.200000000000003" customHeight="1">
      <c r="D33" s="31" t="s">
        <v>29</v>
      </c>
      <c r="E33" s="31"/>
      <c r="F33" s="31" t="s">
        <v>25</v>
      </c>
      <c r="G33" s="31"/>
      <c r="H33" s="31" t="s">
        <v>30</v>
      </c>
      <c r="I33" s="31"/>
      <c r="J33" s="31" t="s">
        <v>31</v>
      </c>
      <c r="K33" s="31"/>
      <c r="L33" s="31" t="s">
        <v>32</v>
      </c>
      <c r="M33" s="31"/>
      <c r="N33" s="31" t="s">
        <v>33</v>
      </c>
      <c r="O33" s="31"/>
      <c r="P33" s="31"/>
      <c r="Q33" s="31"/>
      <c r="R33" s="31"/>
      <c r="S33" s="31"/>
      <c r="T33" s="31"/>
      <c r="U33" s="31"/>
      <c r="V33" s="31"/>
      <c r="W33" s="31"/>
      <c r="X33" s="31"/>
    </row>
    <row r="34" spans="4:24" s="35" customFormat="1" ht="37.200000000000003" customHeight="1">
      <c r="D34" s="36" t="s">
        <v>122</v>
      </c>
      <c r="E34" s="31"/>
      <c r="F34" s="36" t="s">
        <v>122</v>
      </c>
      <c r="G34" s="31"/>
      <c r="H34" s="36" t="s">
        <v>122</v>
      </c>
      <c r="I34" s="31"/>
      <c r="J34" s="36" t="s">
        <v>122</v>
      </c>
      <c r="K34" s="31"/>
      <c r="L34" s="36" t="s">
        <v>122</v>
      </c>
      <c r="M34" s="31"/>
      <c r="N34" s="36" t="s">
        <v>122</v>
      </c>
      <c r="O34" s="31"/>
      <c r="P34" s="31"/>
      <c r="Q34" s="31"/>
      <c r="R34" s="31"/>
      <c r="S34" s="31"/>
      <c r="T34" s="31"/>
      <c r="U34" s="31"/>
      <c r="V34" s="31"/>
      <c r="W34" s="31"/>
      <c r="X34" s="31"/>
    </row>
    <row r="35" spans="4:24" s="35" customFormat="1" ht="37.200000000000003" customHeight="1">
      <c r="D35" s="37" t="s">
        <v>149</v>
      </c>
      <c r="E35" s="31"/>
      <c r="F35" s="37" t="s">
        <v>152</v>
      </c>
      <c r="G35" s="31"/>
      <c r="H35" s="37" t="s">
        <v>155</v>
      </c>
      <c r="I35" s="31"/>
      <c r="J35" s="37" t="s">
        <v>156</v>
      </c>
      <c r="K35" s="31"/>
      <c r="L35" s="37" t="s">
        <v>159</v>
      </c>
      <c r="M35" s="31"/>
      <c r="N35" s="37" t="s">
        <v>161</v>
      </c>
      <c r="O35" s="31"/>
      <c r="P35" s="31"/>
      <c r="Q35" s="31"/>
      <c r="R35" s="31"/>
      <c r="S35" s="31"/>
      <c r="T35" s="31"/>
      <c r="U35" s="31"/>
      <c r="V35" s="31"/>
      <c r="W35" s="31"/>
      <c r="X35" s="31"/>
    </row>
    <row r="36" spans="4:24" s="35" customFormat="1" ht="37.200000000000003" customHeight="1">
      <c r="D36" s="38" t="s">
        <v>150</v>
      </c>
      <c r="E36" s="31"/>
      <c r="F36" s="38" t="s">
        <v>153</v>
      </c>
      <c r="G36" s="31"/>
      <c r="H36" s="38" t="s">
        <v>150</v>
      </c>
      <c r="I36" s="31"/>
      <c r="J36" s="38" t="s">
        <v>157</v>
      </c>
      <c r="K36" s="31"/>
      <c r="L36" s="38" t="s">
        <v>200</v>
      </c>
      <c r="M36" s="31"/>
      <c r="N36" s="38" t="s">
        <v>162</v>
      </c>
      <c r="O36" s="31"/>
      <c r="P36" s="31"/>
      <c r="Q36" s="31"/>
      <c r="R36" s="31"/>
      <c r="S36" s="31"/>
      <c r="T36" s="31"/>
      <c r="U36" s="31"/>
      <c r="V36" s="31"/>
      <c r="W36" s="31"/>
      <c r="X36" s="31"/>
    </row>
    <row r="37" spans="4:24" s="35" customFormat="1" ht="37.200000000000003" customHeight="1">
      <c r="D37" s="39" t="s">
        <v>151</v>
      </c>
      <c r="E37" s="31"/>
      <c r="F37" s="39" t="s">
        <v>154</v>
      </c>
      <c r="G37" s="31"/>
      <c r="H37" s="39" t="s">
        <v>151</v>
      </c>
      <c r="I37" s="31"/>
      <c r="J37" s="39" t="s">
        <v>158</v>
      </c>
      <c r="K37" s="31"/>
      <c r="L37" s="39" t="s">
        <v>160</v>
      </c>
      <c r="M37" s="31"/>
      <c r="N37" s="39" t="s">
        <v>163</v>
      </c>
      <c r="O37" s="31"/>
      <c r="P37" s="31"/>
      <c r="Q37" s="31"/>
      <c r="R37" s="31"/>
      <c r="S37" s="31"/>
      <c r="T37" s="31"/>
      <c r="U37" s="31"/>
      <c r="V37" s="31"/>
      <c r="W37" s="31"/>
      <c r="X37" s="31"/>
    </row>
    <row r="38" spans="4:24" s="35" customFormat="1" ht="37.200000000000003" customHeight="1">
      <c r="D38" s="31"/>
      <c r="E38" s="31"/>
      <c r="F38" s="31"/>
      <c r="G38" s="31"/>
      <c r="H38" s="31"/>
      <c r="I38" s="31"/>
      <c r="J38" s="31"/>
      <c r="K38" s="31"/>
      <c r="L38" s="31"/>
      <c r="M38" s="31"/>
      <c r="N38" s="31"/>
      <c r="O38" s="31"/>
      <c r="P38" s="31"/>
      <c r="Q38" s="31"/>
      <c r="R38" s="31"/>
      <c r="S38" s="31"/>
      <c r="T38" s="31"/>
      <c r="U38" s="31"/>
      <c r="V38" s="31"/>
      <c r="W38" s="31"/>
      <c r="X38" s="31"/>
    </row>
    <row r="39" spans="4:24" s="35" customFormat="1" ht="37.200000000000003" customHeight="1">
      <c r="D39" s="30" t="s">
        <v>22</v>
      </c>
      <c r="E39" s="31"/>
      <c r="F39" s="30" t="s">
        <v>22</v>
      </c>
      <c r="G39" s="31"/>
      <c r="H39" s="30" t="s">
        <v>22</v>
      </c>
      <c r="I39" s="31"/>
      <c r="J39" s="30" t="s">
        <v>22</v>
      </c>
      <c r="K39" s="31"/>
      <c r="L39" s="30" t="s">
        <v>22</v>
      </c>
      <c r="M39" s="31"/>
      <c r="N39" s="30" t="s">
        <v>22</v>
      </c>
      <c r="O39" s="31"/>
      <c r="P39" s="31"/>
      <c r="Q39" s="31"/>
      <c r="R39" s="31"/>
      <c r="S39" s="31"/>
      <c r="T39" s="31"/>
      <c r="U39" s="31"/>
      <c r="V39" s="31"/>
      <c r="W39" s="31"/>
      <c r="X39" s="31"/>
    </row>
    <row r="40" spans="4:24" s="35" customFormat="1" ht="37.200000000000003" customHeight="1">
      <c r="D40" s="31" t="s">
        <v>23</v>
      </c>
      <c r="E40" s="31"/>
      <c r="F40" s="31" t="s">
        <v>24</v>
      </c>
      <c r="G40" s="31"/>
      <c r="H40" s="31" t="s">
        <v>25</v>
      </c>
      <c r="I40" s="31"/>
      <c r="J40" s="31" t="s">
        <v>26</v>
      </c>
      <c r="K40" s="31"/>
      <c r="L40" s="31" t="s">
        <v>27</v>
      </c>
      <c r="M40" s="31"/>
      <c r="N40" s="31" t="s">
        <v>28</v>
      </c>
      <c r="O40" s="31"/>
      <c r="P40" s="31"/>
      <c r="Q40" s="31"/>
      <c r="R40" s="31"/>
      <c r="S40" s="31"/>
      <c r="T40" s="31"/>
      <c r="U40" s="31"/>
      <c r="V40" s="31"/>
      <c r="W40" s="31"/>
      <c r="X40" s="31"/>
    </row>
    <row r="41" spans="4:24" s="35" customFormat="1" ht="37.200000000000003" customHeight="1">
      <c r="D41" s="36" t="s">
        <v>122</v>
      </c>
      <c r="E41" s="31"/>
      <c r="F41" s="36" t="s">
        <v>122</v>
      </c>
      <c r="G41" s="31"/>
      <c r="H41" s="36" t="s">
        <v>122</v>
      </c>
      <c r="I41" s="31"/>
      <c r="J41" s="36" t="s">
        <v>122</v>
      </c>
      <c r="K41" s="31"/>
      <c r="L41" s="36" t="s">
        <v>122</v>
      </c>
      <c r="M41" s="31"/>
      <c r="N41" s="36" t="s">
        <v>122</v>
      </c>
      <c r="O41" s="31"/>
      <c r="P41" s="31"/>
      <c r="Q41" s="31"/>
      <c r="R41" s="31"/>
      <c r="S41" s="31"/>
      <c r="T41" s="31"/>
      <c r="U41" s="31"/>
      <c r="V41" s="31"/>
      <c r="W41" s="31"/>
      <c r="X41" s="31"/>
    </row>
    <row r="42" spans="4:24" s="35" customFormat="1" ht="37.200000000000003" customHeight="1">
      <c r="D42" s="37" t="s">
        <v>196</v>
      </c>
      <c r="E42" s="31"/>
      <c r="F42" s="37" t="s">
        <v>149</v>
      </c>
      <c r="G42" s="31"/>
      <c r="H42" s="37" t="s">
        <v>152</v>
      </c>
      <c r="I42" s="31"/>
      <c r="J42" s="37" t="s">
        <v>149</v>
      </c>
      <c r="K42" s="31"/>
      <c r="L42" s="37" t="s">
        <v>152</v>
      </c>
      <c r="M42" s="31"/>
      <c r="N42" s="37" t="s">
        <v>164</v>
      </c>
      <c r="O42" s="31"/>
      <c r="P42" s="31"/>
      <c r="Q42" s="31"/>
      <c r="R42" s="31"/>
      <c r="S42" s="31"/>
      <c r="T42" s="31"/>
      <c r="U42" s="31"/>
      <c r="V42" s="31"/>
      <c r="W42" s="31"/>
      <c r="X42" s="31"/>
    </row>
    <row r="43" spans="4:24" s="35" customFormat="1" ht="37.200000000000003" customHeight="1">
      <c r="D43" s="38" t="s">
        <v>150</v>
      </c>
      <c r="E43" s="31"/>
      <c r="F43" s="38" t="s">
        <v>150</v>
      </c>
      <c r="G43" s="31"/>
      <c r="H43" s="38" t="s">
        <v>153</v>
      </c>
      <c r="I43" s="31"/>
      <c r="J43" s="38" t="s">
        <v>150</v>
      </c>
      <c r="K43" s="31"/>
      <c r="L43" s="38" t="s">
        <v>153</v>
      </c>
      <c r="M43" s="31"/>
      <c r="N43" s="38" t="s">
        <v>199</v>
      </c>
      <c r="O43" s="31"/>
      <c r="P43" s="31"/>
      <c r="Q43" s="31"/>
      <c r="R43" s="31"/>
      <c r="S43" s="31"/>
      <c r="T43" s="31"/>
      <c r="U43" s="31"/>
      <c r="V43" s="31"/>
      <c r="W43" s="31"/>
      <c r="X43" s="31"/>
    </row>
    <row r="44" spans="4:24" s="35" customFormat="1" ht="37.200000000000003" customHeight="1">
      <c r="D44" s="39" t="s">
        <v>197</v>
      </c>
      <c r="E44" s="31"/>
      <c r="F44" s="39" t="s">
        <v>198</v>
      </c>
      <c r="G44" s="31"/>
      <c r="H44" s="39" t="s">
        <v>154</v>
      </c>
      <c r="I44" s="31"/>
      <c r="J44" s="39" t="s">
        <v>198</v>
      </c>
      <c r="K44" s="31"/>
      <c r="L44" s="39" t="s">
        <v>154</v>
      </c>
      <c r="M44" s="31"/>
      <c r="N44" s="39" t="s">
        <v>165</v>
      </c>
      <c r="O44" s="31"/>
      <c r="P44" s="31"/>
      <c r="Q44" s="31"/>
      <c r="R44" s="31"/>
      <c r="S44" s="31"/>
      <c r="T44" s="31"/>
      <c r="U44" s="31"/>
      <c r="V44" s="31"/>
      <c r="W44" s="31"/>
      <c r="X44" s="31"/>
    </row>
    <row r="45" spans="4:24" s="35" customFormat="1" ht="37.200000000000003" customHeight="1">
      <c r="D45" s="31"/>
      <c r="E45" s="31"/>
      <c r="F45" s="31"/>
      <c r="G45" s="31"/>
      <c r="H45" s="31"/>
      <c r="I45" s="31"/>
      <c r="J45" s="31"/>
      <c r="K45" s="31"/>
      <c r="L45" s="31"/>
      <c r="M45" s="31"/>
      <c r="N45" s="31"/>
      <c r="O45" s="31"/>
      <c r="P45" s="31"/>
      <c r="Q45" s="31"/>
      <c r="R45" s="31"/>
      <c r="S45" s="31"/>
      <c r="T45" s="31"/>
      <c r="U45" s="31"/>
      <c r="V45" s="31"/>
      <c r="W45" s="31"/>
      <c r="X45" s="31"/>
    </row>
    <row r="46" spans="4:24" s="35" customFormat="1" ht="37.200000000000003" customHeight="1">
      <c r="D46" s="30" t="s">
        <v>17</v>
      </c>
      <c r="E46" s="31"/>
      <c r="F46" s="30" t="s">
        <v>17</v>
      </c>
      <c r="G46" s="31"/>
      <c r="H46" s="30" t="s">
        <v>17</v>
      </c>
      <c r="I46" s="31"/>
      <c r="J46" s="30" t="s">
        <v>17</v>
      </c>
      <c r="K46" s="31"/>
      <c r="L46" s="31"/>
      <c r="M46" s="31"/>
      <c r="N46" s="31"/>
      <c r="O46" s="31"/>
      <c r="P46" s="31"/>
      <c r="Q46" s="31"/>
      <c r="R46" s="31"/>
      <c r="S46" s="31"/>
      <c r="T46" s="31"/>
      <c r="U46" s="31"/>
      <c r="V46" s="31"/>
      <c r="W46" s="31"/>
      <c r="X46" s="31"/>
    </row>
    <row r="47" spans="4:24" s="35" customFormat="1" ht="37.200000000000003" customHeight="1">
      <c r="D47" s="31" t="s">
        <v>18</v>
      </c>
      <c r="E47" s="31"/>
      <c r="F47" s="31" t="s">
        <v>19</v>
      </c>
      <c r="G47" s="31"/>
      <c r="H47" s="31" t="s">
        <v>20</v>
      </c>
      <c r="I47" s="31"/>
      <c r="J47" s="31" t="s">
        <v>21</v>
      </c>
      <c r="K47" s="31"/>
      <c r="L47" s="31"/>
      <c r="M47" s="31"/>
      <c r="N47" s="31"/>
      <c r="O47" s="31"/>
      <c r="P47" s="31"/>
      <c r="Q47" s="31"/>
      <c r="R47" s="31"/>
      <c r="S47" s="31"/>
      <c r="T47" s="31"/>
      <c r="U47" s="31"/>
      <c r="V47" s="31"/>
      <c r="W47" s="31"/>
      <c r="X47" s="47" t="s">
        <v>3</v>
      </c>
    </row>
    <row r="48" spans="4:24" s="35" customFormat="1" ht="37.200000000000003" customHeight="1">
      <c r="D48" s="36" t="s">
        <v>122</v>
      </c>
      <c r="E48" s="31"/>
      <c r="F48" s="36" t="s">
        <v>122</v>
      </c>
      <c r="G48" s="31"/>
      <c r="H48" s="36" t="s">
        <v>122</v>
      </c>
      <c r="I48" s="31"/>
      <c r="J48" s="36" t="s">
        <v>122</v>
      </c>
      <c r="K48" s="31"/>
      <c r="L48" s="31"/>
      <c r="M48" s="31"/>
      <c r="N48" s="31"/>
      <c r="O48" s="31"/>
      <c r="P48" s="31"/>
      <c r="Q48" s="31"/>
      <c r="R48" s="31"/>
      <c r="S48" s="31"/>
      <c r="T48" s="31"/>
      <c r="U48" s="31"/>
      <c r="V48" s="31"/>
      <c r="W48" s="31"/>
      <c r="X48" s="48" t="s">
        <v>4</v>
      </c>
    </row>
    <row r="49" spans="4:24" s="35" customFormat="1" ht="37.200000000000003" customHeight="1">
      <c r="D49" s="37" t="s">
        <v>166</v>
      </c>
      <c r="E49" s="31"/>
      <c r="F49" s="37" t="s">
        <v>169</v>
      </c>
      <c r="G49" s="31"/>
      <c r="H49" s="37" t="s">
        <v>172</v>
      </c>
      <c r="I49" s="31"/>
      <c r="J49" s="37" t="s">
        <v>174</v>
      </c>
      <c r="K49" s="31"/>
      <c r="L49" s="31"/>
      <c r="M49" s="31"/>
      <c r="N49" s="31"/>
      <c r="O49" s="31"/>
      <c r="P49" s="31"/>
      <c r="Q49" s="31"/>
      <c r="R49" s="31"/>
      <c r="S49" s="31"/>
      <c r="T49" s="31"/>
      <c r="U49" s="31"/>
      <c r="V49" s="31"/>
      <c r="W49" s="31"/>
      <c r="X49" s="49" t="s">
        <v>5</v>
      </c>
    </row>
    <row r="50" spans="4:24" s="35" customFormat="1" ht="37.200000000000003" customHeight="1">
      <c r="D50" s="38" t="s">
        <v>167</v>
      </c>
      <c r="E50" s="31"/>
      <c r="F50" s="38" t="s">
        <v>170</v>
      </c>
      <c r="G50" s="31"/>
      <c r="H50" s="38" t="s">
        <v>180</v>
      </c>
      <c r="I50" s="31"/>
      <c r="J50" s="38" t="s">
        <v>175</v>
      </c>
      <c r="K50" s="31"/>
      <c r="L50" s="31"/>
      <c r="M50" s="31"/>
      <c r="N50" s="31"/>
      <c r="O50" s="31"/>
      <c r="P50" s="31"/>
      <c r="Q50" s="31"/>
      <c r="R50" s="31"/>
      <c r="S50" s="31"/>
      <c r="T50" s="31"/>
      <c r="U50" s="31"/>
      <c r="V50" s="31"/>
      <c r="W50" s="31"/>
      <c r="X50" s="50" t="s">
        <v>6</v>
      </c>
    </row>
    <row r="51" spans="4:24" s="35" customFormat="1" ht="37.200000000000003" customHeight="1">
      <c r="D51" s="39" t="s">
        <v>168</v>
      </c>
      <c r="E51" s="31"/>
      <c r="F51" s="39" t="s">
        <v>171</v>
      </c>
      <c r="G51" s="31"/>
      <c r="H51" s="39" t="s">
        <v>181</v>
      </c>
      <c r="I51" s="31"/>
      <c r="J51" s="39" t="s">
        <v>176</v>
      </c>
      <c r="K51" s="31"/>
      <c r="L51" s="31"/>
      <c r="M51" s="31"/>
      <c r="N51" s="31"/>
      <c r="O51" s="31"/>
      <c r="P51" s="31"/>
      <c r="Q51" s="31"/>
      <c r="R51" s="31"/>
      <c r="S51" s="31"/>
      <c r="T51" s="31"/>
      <c r="U51" s="31"/>
      <c r="V51" s="31"/>
      <c r="W51" s="31"/>
      <c r="X51" s="31"/>
    </row>
    <row r="52" spans="4:24" s="35" customFormat="1" ht="37.200000000000003" customHeight="1">
      <c r="D52" s="31"/>
      <c r="E52" s="31"/>
      <c r="F52" s="31"/>
      <c r="G52" s="31"/>
      <c r="H52" s="31"/>
      <c r="I52" s="31"/>
      <c r="J52" s="31"/>
      <c r="K52" s="31"/>
      <c r="L52" s="31"/>
      <c r="M52" s="31"/>
      <c r="N52" s="31"/>
      <c r="O52" s="31"/>
      <c r="P52" s="31"/>
      <c r="Q52" s="31"/>
      <c r="R52" s="31"/>
      <c r="S52" s="31"/>
      <c r="T52" s="31"/>
      <c r="U52" s="31"/>
      <c r="V52" s="31"/>
      <c r="W52" s="31"/>
      <c r="X52" s="31"/>
    </row>
    <row r="53" spans="4:24" s="35" customFormat="1" ht="37.200000000000003" customHeight="1">
      <c r="D53" s="30" t="s">
        <v>14</v>
      </c>
      <c r="E53" s="31"/>
      <c r="F53" s="30" t="s">
        <v>14</v>
      </c>
      <c r="G53" s="31"/>
      <c r="H53" s="30" t="s">
        <v>14</v>
      </c>
      <c r="I53" s="31"/>
      <c r="J53" s="30" t="s">
        <v>14</v>
      </c>
      <c r="K53" s="31"/>
      <c r="L53" s="30" t="s">
        <v>14</v>
      </c>
      <c r="M53" s="31"/>
      <c r="N53" s="30" t="s">
        <v>14</v>
      </c>
      <c r="O53" s="31"/>
      <c r="P53" s="30" t="s">
        <v>14</v>
      </c>
      <c r="Q53" s="31"/>
      <c r="R53" s="30" t="s">
        <v>14</v>
      </c>
      <c r="S53" s="31"/>
      <c r="T53" s="31"/>
      <c r="U53" s="31"/>
      <c r="V53" s="31"/>
      <c r="W53" s="31"/>
      <c r="X53" s="31"/>
    </row>
    <row r="54" spans="4:24" s="35" customFormat="1" ht="37.200000000000003" customHeight="1">
      <c r="D54" s="31" t="s">
        <v>182</v>
      </c>
      <c r="E54" s="31"/>
      <c r="F54" s="31" t="s">
        <v>7</v>
      </c>
      <c r="G54" s="31"/>
      <c r="H54" s="31" t="s">
        <v>8</v>
      </c>
      <c r="I54" s="31"/>
      <c r="J54" s="31" t="s">
        <v>9</v>
      </c>
      <c r="K54" s="31"/>
      <c r="L54" s="31" t="s">
        <v>10</v>
      </c>
      <c r="M54" s="31"/>
      <c r="N54" s="31" t="s">
        <v>11</v>
      </c>
      <c r="O54" s="31"/>
      <c r="P54" s="31" t="s">
        <v>12</v>
      </c>
      <c r="Q54" s="31"/>
      <c r="R54" s="31" t="s">
        <v>13</v>
      </c>
      <c r="S54" s="31"/>
      <c r="T54" s="31"/>
      <c r="U54" s="31"/>
      <c r="V54" s="31"/>
      <c r="W54" s="31"/>
      <c r="X54" s="34" t="s">
        <v>189</v>
      </c>
    </row>
    <row r="55" spans="4:24" s="35" customFormat="1" ht="37.200000000000003" customHeight="1">
      <c r="D55" s="36" t="s">
        <v>93</v>
      </c>
      <c r="E55" s="31"/>
      <c r="F55" s="36" t="s">
        <v>93</v>
      </c>
      <c r="G55" s="31"/>
      <c r="H55" s="36" t="s">
        <v>122</v>
      </c>
      <c r="I55" s="31"/>
      <c r="J55" s="36" t="s">
        <v>122</v>
      </c>
      <c r="K55" s="31"/>
      <c r="L55" s="36" t="s">
        <v>122</v>
      </c>
      <c r="M55" s="31"/>
      <c r="N55" s="36" t="s">
        <v>122</v>
      </c>
      <c r="O55" s="31"/>
      <c r="P55" s="36" t="s">
        <v>122</v>
      </c>
      <c r="Q55" s="31"/>
      <c r="R55" s="36" t="s">
        <v>122</v>
      </c>
      <c r="S55" s="31"/>
      <c r="T55" s="31"/>
      <c r="U55" s="31"/>
      <c r="V55" s="31"/>
      <c r="W55" s="31"/>
      <c r="X55" s="26"/>
    </row>
    <row r="56" spans="4:24" s="35" customFormat="1" ht="46.95" customHeight="1">
      <c r="D56" s="37" t="s">
        <v>103</v>
      </c>
      <c r="E56" s="31"/>
      <c r="F56" s="37" t="s">
        <v>99</v>
      </c>
      <c r="G56" s="31"/>
      <c r="H56" s="37" t="s">
        <v>172</v>
      </c>
      <c r="I56" s="31"/>
      <c r="J56" s="42" t="s">
        <v>191</v>
      </c>
      <c r="K56" s="31"/>
      <c r="L56" s="37" t="s">
        <v>172</v>
      </c>
      <c r="M56" s="31"/>
      <c r="N56" s="37" t="s">
        <v>172</v>
      </c>
      <c r="O56" s="31"/>
      <c r="P56" s="37" t="s">
        <v>195</v>
      </c>
      <c r="Q56" s="31"/>
      <c r="R56" s="37" t="s">
        <v>186</v>
      </c>
      <c r="S56" s="31"/>
      <c r="T56" s="31"/>
      <c r="U56" s="31"/>
      <c r="V56" s="31"/>
      <c r="W56" s="31"/>
      <c r="X56" s="27"/>
    </row>
    <row r="57" spans="4:24" s="35" customFormat="1" ht="48" customHeight="1">
      <c r="D57" s="38" t="s">
        <v>104</v>
      </c>
      <c r="E57" s="31"/>
      <c r="F57" s="38" t="s">
        <v>100</v>
      </c>
      <c r="G57" s="31"/>
      <c r="H57" s="41" t="s">
        <v>190</v>
      </c>
      <c r="I57" s="31"/>
      <c r="J57" s="38" t="s">
        <v>177</v>
      </c>
      <c r="K57" s="31"/>
      <c r="L57" s="38" t="s">
        <v>184</v>
      </c>
      <c r="M57" s="31"/>
      <c r="N57" s="38" t="s">
        <v>184</v>
      </c>
      <c r="O57" s="31"/>
      <c r="P57" s="38" t="s">
        <v>192</v>
      </c>
      <c r="Q57" s="31"/>
      <c r="R57" s="38" t="s">
        <v>187</v>
      </c>
      <c r="S57" s="31"/>
      <c r="T57" s="31"/>
      <c r="U57" s="31"/>
      <c r="V57" s="31"/>
      <c r="W57" s="31"/>
      <c r="X57" s="28"/>
    </row>
    <row r="58" spans="4:24" s="35" customFormat="1" ht="37.200000000000003" customHeight="1">
      <c r="D58" s="39" t="s">
        <v>118</v>
      </c>
      <c r="E58" s="31"/>
      <c r="F58" s="39" t="s">
        <v>94</v>
      </c>
      <c r="G58" s="31"/>
      <c r="H58" s="39" t="s">
        <v>173</v>
      </c>
      <c r="I58" s="31"/>
      <c r="J58" s="39" t="s">
        <v>178</v>
      </c>
      <c r="K58" s="31"/>
      <c r="L58" s="39" t="s">
        <v>183</v>
      </c>
      <c r="M58" s="31"/>
      <c r="N58" s="39" t="s">
        <v>183</v>
      </c>
      <c r="O58" s="31"/>
      <c r="P58" s="39" t="s">
        <v>185</v>
      </c>
      <c r="Q58" s="31"/>
      <c r="R58" s="39" t="s">
        <v>188</v>
      </c>
      <c r="S58" s="31"/>
      <c r="T58" s="31"/>
      <c r="U58" s="31"/>
      <c r="V58" s="31"/>
      <c r="W58" s="31"/>
      <c r="X58" s="29"/>
    </row>
    <row r="62" spans="4:24" ht="24" customHeight="1"/>
    <row r="63" spans="4:24" ht="24" customHeight="1"/>
    <row r="64" spans="4:24" ht="24" customHeight="1"/>
    <row r="65" ht="24" customHeight="1"/>
  </sheetData>
  <printOptions horizontalCentered="1"/>
  <pageMargins left="0.25" right="0.25" top="0.75" bottom="0.75" header="0.3" footer="0.3"/>
  <pageSetup paperSize="8" scale="32"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374F7-6F1D-421D-88B5-B243AD7E2B20}">
  <dimension ref="A1"/>
  <sheetViews>
    <sheetView tabSelected="1" workbookViewId="0">
      <selection activeCell="G8" sqref="G8"/>
    </sheetView>
  </sheetViews>
  <sheetFormatPr defaultRowHeight="14.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400D1C9387394CA47DD890C5ACC069" ma:contentTypeVersion="18" ma:contentTypeDescription="Create a new document." ma:contentTypeScope="" ma:versionID="499dcacea7869e72ec47ccef0df96611">
  <xsd:schema xmlns:xsd="http://www.w3.org/2001/XMLSchema" xmlns:xs="http://www.w3.org/2001/XMLSchema" xmlns:p="http://schemas.microsoft.com/office/2006/metadata/properties" xmlns:ns3="19d8dd93-1caa-47e0-aff4-753d0b208c7b" xmlns:ns4="918a2c0b-dd05-44d9-8e9e-66e20f053f71" targetNamespace="http://schemas.microsoft.com/office/2006/metadata/properties" ma:root="true" ma:fieldsID="3dff1feee7418a4194dd4bde97937115" ns3:_="" ns4:_="">
    <xsd:import namespace="19d8dd93-1caa-47e0-aff4-753d0b208c7b"/>
    <xsd:import namespace="918a2c0b-dd05-44d9-8e9e-66e20f053f71"/>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4:SharedWithUsers" minOccurs="0"/>
                <xsd:element ref="ns4:SharedWithDetails" minOccurs="0"/>
                <xsd:element ref="ns4:SharingHintHash" minOccurs="0"/>
                <xsd:element ref="ns3:MediaServiceLocation" minOccurs="0"/>
                <xsd:element ref="ns3:MediaLengthInSeconds" minOccurs="0"/>
                <xsd:element ref="ns3:MediaServiceAutoKeyPoints" minOccurs="0"/>
                <xsd:element ref="ns3:MediaServiceKeyPoint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d8dd93-1caa-47e0-aff4-753d0b208c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18a2c0b-dd05-44d9-8e9e-66e20f053f71"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19d8dd93-1caa-47e0-aff4-753d0b208c7b" xsi:nil="true"/>
  </documentManagement>
</p:properties>
</file>

<file path=customXml/itemProps1.xml><?xml version="1.0" encoding="utf-8"?>
<ds:datastoreItem xmlns:ds="http://schemas.openxmlformats.org/officeDocument/2006/customXml" ds:itemID="{A20838C6-E054-4218-91C3-3C572C6585D5}">
  <ds:schemaRefs>
    <ds:schemaRef ds:uri="http://schemas.microsoft.com/office/2006/metadata/contentType"/>
    <ds:schemaRef ds:uri="http://schemas.microsoft.com/office/2006/metadata/properties/metaAttributes"/>
    <ds:schemaRef ds:uri="http://www.w3.org/2000/xmlns/"/>
    <ds:schemaRef ds:uri="http://www.w3.org/2001/XMLSchema"/>
    <ds:schemaRef ds:uri="19d8dd93-1caa-47e0-aff4-753d0b208c7b"/>
    <ds:schemaRef ds:uri="918a2c0b-dd05-44d9-8e9e-66e20f053f7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1D9927D-73F3-4251-8F03-9DED730C4E92}">
  <ds:schemaRefs>
    <ds:schemaRef ds:uri="http://schemas.microsoft.com/sharepoint/v3/contenttype/forms"/>
  </ds:schemaRefs>
</ds:datastoreItem>
</file>

<file path=customXml/itemProps3.xml><?xml version="1.0" encoding="utf-8"?>
<ds:datastoreItem xmlns:ds="http://schemas.openxmlformats.org/officeDocument/2006/customXml" ds:itemID="{7B11C517-C6C9-4DDB-8B0A-1014F481F0F5}">
  <ds:schemaRefs>
    <ds:schemaRef ds:uri="http://purl.org/dc/terms/"/>
    <ds:schemaRef ds:uri="19d8dd93-1caa-47e0-aff4-753d0b208c7b"/>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http://purl.org/dc/dcmitype/"/>
    <ds:schemaRef ds:uri="918a2c0b-dd05-44d9-8e9e-66e20f053f71"/>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Attached Photos</vt:lpstr>
      <vt:lpstr>FCI Report</vt:lpstr>
      <vt:lpstr>Spare Parts delivery completion</vt:lpstr>
      <vt:lpstr>Repair works deliver completion</vt:lpstr>
      <vt:lpstr>List</vt:lpstr>
      <vt:lpstr>Images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2024-09-11T12:41:29Z</cp:lastPrinted>
  <dcterms:created xsi:type="dcterms:W3CDTF">2015-06-05T18:17:20Z</dcterms:created>
  <dcterms:modified xsi:type="dcterms:W3CDTF">2026-10-31T14:15:58Z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0x01010016400D1C9387394CA47DD890C5ACC069</vt:lpwstr>
  </property>
</Properties>
</file>